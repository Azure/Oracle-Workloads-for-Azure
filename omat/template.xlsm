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slicers/slicer1.xml" ContentType="application/vnd.ms-excel.slicer+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microsofteur-my.sharepoint.com/personal/ondery_microsoft_com/Documents/Projects/oracle-migration-assessment/"/>
    </mc:Choice>
  </mc:AlternateContent>
  <xr:revisionPtr revIDLastSave="28" documentId="8_{B9736492-91AE-44B9-A3D5-969CD10F0B74}" xr6:coauthVersionLast="47" xr6:coauthVersionMax="47" xr10:uidLastSave="{D76D468D-BAB7-46BB-B944-232F1AD88736}"/>
  <bookViews>
    <workbookView xWindow="13050" yWindow="3465" windowWidth="18900" windowHeight="10965" xr2:uid="{40A9AC74-EDCC-4CC4-B416-B5583B8A3C3C}"/>
  </bookViews>
  <sheets>
    <sheet name="Data" sheetId="1" r:id="rId1"/>
    <sheet name="Recommendations" sheetId="5" r:id="rId2"/>
    <sheet name="Settings" sheetId="2" r:id="rId3"/>
    <sheet name="AzureVMSkus" sheetId="6" r:id="rId4"/>
    <sheet name="AzureDiskSkus" sheetId="7" r:id="rId5"/>
    <sheet name="AzurePriceList" sheetId="8" r:id="rId6"/>
  </sheets>
  <functionGroups builtInGroupCount="19"/>
  <definedNames>
    <definedName name="busyCPUFactor">Settings!$B$7</definedName>
    <definedName name="busyCPUThreshold">Settings!$B$6</definedName>
    <definedName name="ExternalData_1" localSheetId="3" hidden="1">AzureVMSkus!#REF!</definedName>
    <definedName name="ExternalData_2" localSheetId="4" hidden="1">AzureDiskSkus!#REF!</definedName>
    <definedName name="NetApp_MinIOPSForRecommendation">Settings!$B$8</definedName>
    <definedName name="NetApp_MinThroughputMBsForRecommendation">Settings!$B$9</definedName>
    <definedName name="peakCPUFactor">Settings!$B$2</definedName>
    <definedName name="peakIOFactor">Settings!$B$4</definedName>
    <definedName name="peakRamFactor">Settings!$B$3</definedName>
    <definedName name="RecommendVMCPUsLowerLimitPercent">Settings!$B$10</definedName>
    <definedName name="RecommendVMCPUsUpperLimitPercent">Settings!$B$11</definedName>
    <definedName name="RecommendVMMemoryLowerLimitPercent">Settings!$B$12</definedName>
    <definedName name="Slicer_AMDProcessor">#N/A</definedName>
    <definedName name="Slicer_Class">#N/A</definedName>
    <definedName name="Slicer_Diskful">#N/A</definedName>
    <definedName name="Slicer_diskRecommendationPriority">#N/A</definedName>
    <definedName name="Slicer_name">#N/A</definedName>
    <definedName name="Slicer_name1">#N/A</definedName>
    <definedName name="Slicer_size">#N/A</definedName>
    <definedName name="Slicer_tier">#N/A</definedName>
    <definedName name="Slicer_vCPUsAvailable">#N/A</definedName>
    <definedName name="Slicer_vCPUsPerCore">#N/A</definedName>
    <definedName name="Slicer_vmRecommendationPriority">#N/A</definedName>
    <definedName name="vCPUHTFactor">Settings!$B$5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4:slicerCache r:id="rId15"/>
        <x14:slicerCache r:id="rId16"/>
        <x14:slicerCache r:id="rId1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5" l="1"/>
  <c r="L8" i="5"/>
  <c r="L9" i="5" s="1"/>
  <c r="K8" i="5"/>
  <c r="K9" i="5" s="1"/>
  <c r="J8" i="5"/>
  <c r="J9" i="5" s="1"/>
  <c r="I8" i="5"/>
  <c r="I9" i="5" s="1"/>
  <c r="H8" i="5"/>
  <c r="H9" i="5" s="1"/>
  <c r="G8" i="5"/>
  <c r="G9" i="5" s="1"/>
  <c r="F8" i="5"/>
  <c r="F9" i="5" s="1"/>
  <c r="E8" i="5"/>
  <c r="E9" i="5" s="1"/>
  <c r="D8" i="5"/>
  <c r="D9" i="5" s="1"/>
  <c r="C8" i="5"/>
  <c r="C9" i="5" s="1"/>
  <c r="L23" i="1"/>
  <c r="K23" i="1"/>
  <c r="J23" i="1"/>
  <c r="I23" i="1"/>
  <c r="H23" i="1"/>
  <c r="G23" i="1"/>
  <c r="F23" i="1"/>
  <c r="E23" i="1"/>
  <c r="D23" i="1"/>
  <c r="C23" i="1"/>
  <c r="K22" i="1"/>
  <c r="J22" i="1"/>
  <c r="I22" i="1"/>
  <c r="H22" i="1"/>
  <c r="G22" i="1"/>
  <c r="F22" i="1"/>
  <c r="E22" i="1"/>
  <c r="D22" i="1"/>
  <c r="C22" i="1"/>
  <c r="F17" i="1"/>
  <c r="E17" i="1"/>
  <c r="D17" i="1"/>
  <c r="C17" i="1"/>
  <c r="B17" i="1"/>
  <c r="F16" i="1"/>
  <c r="E16" i="1"/>
  <c r="D16" i="1"/>
  <c r="C16" i="1"/>
  <c r="B16" i="1"/>
  <c r="G11" i="1"/>
  <c r="F11" i="1"/>
  <c r="E11" i="1"/>
  <c r="D11" i="1"/>
  <c r="C11" i="1"/>
  <c r="G10" i="1"/>
  <c r="F10" i="1"/>
  <c r="E10" i="1"/>
  <c r="D10" i="1"/>
  <c r="C10" i="1"/>
  <c r="X5" i="1"/>
  <c r="W5" i="1"/>
  <c r="V5" i="1"/>
  <c r="U5" i="1"/>
  <c r="T5" i="1"/>
  <c r="S5" i="1"/>
  <c r="R5" i="1"/>
  <c r="Q5" i="1"/>
  <c r="P5" i="1"/>
  <c r="O5" i="1"/>
  <c r="N5" i="1"/>
  <c r="M5" i="1"/>
  <c r="L5" i="1"/>
  <c r="K5" i="1"/>
  <c r="J5" i="1"/>
  <c r="I5" i="1"/>
  <c r="H5" i="1"/>
  <c r="G5" i="1"/>
  <c r="F5" i="1"/>
  <c r="X4" i="1"/>
  <c r="W4" i="1"/>
  <c r="V4" i="1"/>
  <c r="U4" i="1"/>
  <c r="T4" i="1"/>
  <c r="S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Onder Yildirim</author>
  </authors>
  <commentList>
    <comment ref="A8" authorId="0" shapeId="0" xr:uid="{BABF1866-6193-455A-B8CF-63A447677B1C}">
      <text>
        <r>
          <rPr>
            <sz val="9"/>
            <color indexed="81"/>
            <rFont val="Tahoma"/>
            <family val="2"/>
          </rPr>
          <t>Min IOPS requirement to start considering ANF recommendations. ANF recommendations will not be created for IOPS requirements below this value.</t>
        </r>
      </text>
    </comment>
    <comment ref="A9" authorId="0" shapeId="0" xr:uid="{07EA4588-B50E-42D4-8675-633B6E072813}">
      <text>
        <r>
          <rPr>
            <sz val="9"/>
            <color indexed="81"/>
            <rFont val="Tahoma"/>
            <family val="2"/>
          </rPr>
          <t>Min IO throughput requirement to start considering ANF recommendations. ANF recommendations will not be created for IO throughput below this value.</t>
        </r>
      </text>
    </comment>
    <comment ref="A10" authorId="0" shapeId="0" xr:uid="{F688932A-C1AE-4EB1-AE6A-180952C8990E}">
      <text>
        <r>
          <rPr>
            <sz val="9"/>
            <color indexed="81"/>
            <rFont val="Tahoma"/>
            <family val="2"/>
          </rPr>
          <t xml:space="preserve">Virtual machines which has CPUs greater than this portion of vCPU requirement will be considered for recommendations. For example, if this value is 70% and vCPU requirement of workload is 100 vCPUs, VMs starting from 70 vCPUs will be recommended.
</t>
        </r>
      </text>
    </comment>
    <comment ref="A11" authorId="0" shapeId="0" xr:uid="{05E02793-849B-447E-A580-D3847C23F8E7}">
      <text>
        <r>
          <rPr>
            <sz val="9"/>
            <color indexed="81"/>
            <rFont val="Tahoma"/>
            <family val="2"/>
          </rPr>
          <t xml:space="preserve">Virtual machines which has CPUs less than this portion of vCPU requirement will be considered for recommendations. For example, if this value is 150% and vCPU requirement of workload is 100 vCPUs, VMs with up to 150 vCPUs will be recommended.
0 (zero) means the upper limit will be determined by next available vCPU count as described below.
Also note that if there are no VMs between the actual vCPU requirement and this value, then the minimum vCPUs larger than requirement will be recommended. For example, if vCPU requirement is 125 vCPUs and this value is 130% then upper limit for recommendation is 125*1.3=163. However, there are no VMs between 125-163 vCPUs. In that case the min available vCPU count larger than requirement (which is 192 vCPUs) will be used.
</t>
        </r>
      </text>
    </comment>
    <comment ref="A12" authorId="0" shapeId="0" xr:uid="{A988D854-BB68-43D9-8545-44E315AF5BDE}">
      <text>
        <r>
          <rPr>
            <sz val="9"/>
            <color indexed="81"/>
            <rFont val="Tahoma"/>
            <family val="2"/>
          </rPr>
          <t xml:space="preserve">Virtual machines which has memory greater than this portion of memory requirement will be considered for recommendations. For example, if this value is 70% and memory requirement of workload is 1TB, VMs starting from 700GB memory will be recommended.
</t>
        </r>
      </text>
    </comment>
  </commentList>
</comments>
</file>

<file path=xl/sharedStrings.xml><?xml version="1.0" encoding="utf-8"?>
<sst xmlns="http://schemas.openxmlformats.org/spreadsheetml/2006/main" count="247" uniqueCount="192">
  <si>
    <t>Parameter Name</t>
  </si>
  <si>
    <t>Est'd Peak CPU factor</t>
  </si>
  <si>
    <t>Est'd Peak RAM factor</t>
  </si>
  <si>
    <t>Est'd Peak I/O factor</t>
  </si>
  <si>
    <t>vCPU HT multiplier</t>
  </si>
  <si>
    <t>%Busy CPU-thrashing threshold</t>
  </si>
  <si>
    <t>%Busy CPU-thrashing factor</t>
  </si>
  <si>
    <t>Setting</t>
  </si>
  <si>
    <t>AWR Details</t>
  </si>
  <si>
    <t>Total</t>
  </si>
  <si>
    <t>Instance Index</t>
  </si>
  <si>
    <t>Release#</t>
  </si>
  <si>
    <t>DB Name</t>
  </si>
  <si>
    <t>Instance Name</t>
  </si>
  <si>
    <t>Host Name</t>
  </si>
  <si>
    <t>Elapsed Time (mins)</t>
  </si>
  <si>
    <t>DB Time (mins)</t>
  </si>
  <si>
    <t>DB CPU</t>
  </si>
  <si>
    <t>CPUs</t>
  </si>
  <si>
    <t>Cores</t>
  </si>
  <si>
    <t>Memory (GB)</t>
  </si>
  <si>
    <t>% Busy CPU</t>
  </si>
  <si>
    <t>SGA Use (MB)</t>
  </si>
  <si>
    <t>PGA Use (MB)</t>
  </si>
  <si>
    <t>Read Throughput (MB/s)</t>
  </si>
  <si>
    <t>Write Throughput (MB/s)</t>
  </si>
  <si>
    <t>Read IOPS</t>
  </si>
  <si>
    <t>Write IOPS</t>
  </si>
  <si>
    <t>Total Throughput (MB/s)</t>
  </si>
  <si>
    <t>Total IOPS</t>
  </si>
  <si>
    <t>CPU Total Capacity (sec)</t>
  </si>
  <si>
    <t>Observed Memory Use (GB)</t>
  </si>
  <si>
    <t>Source CPU HT Factor</t>
  </si>
  <si>
    <t>Average Active Sessions</t>
  </si>
  <si>
    <t>AWR Report File</t>
  </si>
  <si>
    <t>Summary by Database Instance</t>
  </si>
  <si>
    <t>%DB Time of Elapsed Time (aka Avg Active Sessions or "AAS")</t>
  </si>
  <si>
    <t>Observed memory use (GB)</t>
  </si>
  <si>
    <t>Observed IOPS</t>
  </si>
  <si>
    <t>Observed Throughput (MB/s)</t>
  </si>
  <si>
    <t>Observed vCPUs</t>
  </si>
  <si>
    <t>Summary by Host Server</t>
  </si>
  <si>
    <t>Summary by Database</t>
  </si>
  <si>
    <t>name</t>
  </si>
  <si>
    <t>size</t>
  </si>
  <si>
    <t>tier</t>
  </si>
  <si>
    <t>family</t>
  </si>
  <si>
    <t>OSVhdSizeMB</t>
  </si>
  <si>
    <t>vCPUs</t>
  </si>
  <si>
    <t>HyperVGenerations</t>
  </si>
  <si>
    <t>MemoryGB</t>
  </si>
  <si>
    <t>MaxDataDiskCount</t>
  </si>
  <si>
    <t>PremiumIO</t>
  </si>
  <si>
    <t>vCPUsAvailable</t>
  </si>
  <si>
    <t>vCPUsPerCore</t>
  </si>
  <si>
    <t>CachedDiskBytes</t>
  </si>
  <si>
    <t>UncachedDiskIOPS</t>
  </si>
  <si>
    <t>UncachedDiskBytesPerSecond</t>
  </si>
  <si>
    <t>EphemeralOSDiskSupported</t>
  </si>
  <si>
    <t>EncryptionAtHostSupported</t>
  </si>
  <si>
    <t>CapacityReservationSupported</t>
  </si>
  <si>
    <t>AcceleratedNetworkingEnabled</t>
  </si>
  <si>
    <t>MaxNetworkInterfaces</t>
  </si>
  <si>
    <t>UltraSSDAvailable</t>
  </si>
  <si>
    <t>Azure Server Name</t>
  </si>
  <si>
    <t>%DB Time of Elapsed Time 
(aka Avg Active Sessions or "AAS")</t>
  </si>
  <si>
    <t>Summary by Azure Server</t>
  </si>
  <si>
    <t>Observed memory 
use (GB)</t>
  </si>
  <si>
    <t>Estimated RAM 
On Azure</t>
  </si>
  <si>
    <t>Observed 
IOPS</t>
  </si>
  <si>
    <t>Estimated Throughput (MB/s) 
On Azure for peak load</t>
  </si>
  <si>
    <t>Observed 
Azure vCPUs</t>
  </si>
  <si>
    <t>Observed 
Throughput 
(MB/s)</t>
  </si>
  <si>
    <t>Estimated IOPS 
On Azure 
for peak load</t>
  </si>
  <si>
    <t>Estimated vCPUs 
On Azure 
for peak load</t>
  </si>
  <si>
    <t>Estimated
Storage Size
(GiB)</t>
  </si>
  <si>
    <t>Storage Type</t>
  </si>
  <si>
    <t># of Instances</t>
  </si>
  <si>
    <t>Disk Size (GB)/Instance</t>
  </si>
  <si>
    <t>Throughput (MB/s)/Instance</t>
  </si>
  <si>
    <t>Disk Size (GB)</t>
  </si>
  <si>
    <t>Throughput (MB/s)</t>
  </si>
  <si>
    <t>Recommended NAS Storage Options for this workload</t>
  </si>
  <si>
    <t>Step 1:</t>
  </si>
  <si>
    <t>Step 2 (Optional):</t>
  </si>
  <si>
    <t>Step 3 (Optional):</t>
  </si>
  <si>
    <t>Step 4:</t>
  </si>
  <si>
    <t>Step 5:</t>
  </si>
  <si>
    <t>monthlyCost</t>
  </si>
  <si>
    <t>resourceType</t>
  </si>
  <si>
    <t>location</t>
  </si>
  <si>
    <t>MaxResourceVolumeMB</t>
  </si>
  <si>
    <t>MemoryPreservingMaintenanceSupported</t>
  </si>
  <si>
    <t>CpuArchitectureType</t>
  </si>
  <si>
    <t>LowPriorityCapable</t>
  </si>
  <si>
    <t>VMDeploymentTypes</t>
  </si>
  <si>
    <t>ACUs</t>
  </si>
  <si>
    <t>RdmaEnabled</t>
  </si>
  <si>
    <t>CombinedTempDiskAndCachedIOPS</t>
  </si>
  <si>
    <t>CombinedTempDiskAndCachedReadBytesPerSecond</t>
  </si>
  <si>
    <t>CombinedTempDiskAndCachedWriteBytesPerSecond</t>
  </si>
  <si>
    <t>HibernationSupported</t>
  </si>
  <si>
    <t>TrustedLaunchDisabled</t>
  </si>
  <si>
    <t>ConfidentialComputingType</t>
  </si>
  <si>
    <t>ParentSize</t>
  </si>
  <si>
    <t>DiskControllerTypes</t>
  </si>
  <si>
    <t>NvmeDiskSizeInMiB</t>
  </si>
  <si>
    <t>MaxWriteAcceleratorDisksAllowed</t>
  </si>
  <si>
    <t>GPUs</t>
  </si>
  <si>
    <t>MaxSizeGiB</t>
  </si>
  <si>
    <t>MinSizeGiB</t>
  </si>
  <si>
    <t>MaxIOpsReadWrite</t>
  </si>
  <si>
    <t>MinIOpsReadWrite</t>
  </si>
  <si>
    <t>MaxBandwidthMBpsReadWrite</t>
  </si>
  <si>
    <t>MinBandwidthMBpsReadWrite</t>
  </si>
  <si>
    <t>MaxValueOfMaxShares</t>
  </si>
  <si>
    <t>MinIOSizeKiBps</t>
  </si>
  <si>
    <t>MaxIOSizeKiBps</t>
  </si>
  <si>
    <t>MinIopsReadOnly</t>
  </si>
  <si>
    <t>MaxIopsReadOnly</t>
  </si>
  <si>
    <t>MinBandwidthMBpsReadOnly</t>
  </si>
  <si>
    <t>MaxBandwidthMBpsReadOnly</t>
  </si>
  <si>
    <t>MaxIopsPerGiBReadWrite</t>
  </si>
  <si>
    <t>MaxIopsPerGiBReadOnly</t>
  </si>
  <si>
    <t>MinIopsPerGiBReadWrite</t>
  </si>
  <si>
    <t>MinIopsPerGiBReadOnly</t>
  </si>
  <si>
    <t>BillingPartitionSizes</t>
  </si>
  <si>
    <t>MaxIOps</t>
  </si>
  <si>
    <t>MinIOps</t>
  </si>
  <si>
    <t>MaxBandwidthMBps</t>
  </si>
  <si>
    <t>MinBandwidthMBps</t>
  </si>
  <si>
    <t>MaxBurstIops</t>
  </si>
  <si>
    <t>MaxBurstBandwidthMBps</t>
  </si>
  <si>
    <t>MaxBurstDurationInMin</t>
  </si>
  <si>
    <t>BurstCreditBucketSizeInIO</t>
  </si>
  <si>
    <t>BurstCreditBucketSizeInGiB</t>
  </si>
  <si>
    <t>MaxZonalFaultDomainCount</t>
  </si>
  <si>
    <t>MaxBandwidthMBpsPerformancePlus</t>
  </si>
  <si>
    <t>MaxIOpsPerformancePlus</t>
  </si>
  <si>
    <t>serviceFamily</t>
  </si>
  <si>
    <t>serviceName</t>
  </si>
  <si>
    <t>type</t>
  </si>
  <si>
    <t>productName</t>
  </si>
  <si>
    <t>armSkuName</t>
  </si>
  <si>
    <t>skuName</t>
  </si>
  <si>
    <t>meterName</t>
  </si>
  <si>
    <t>unitPrice</t>
  </si>
  <si>
    <t>unitOfMeasure</t>
  </si>
  <si>
    <t>armRegionName</t>
  </si>
  <si>
    <t>currencyCode</t>
  </si>
  <si>
    <t>tierMinimumUnits</t>
  </si>
  <si>
    <t>retailPrice</t>
  </si>
  <si>
    <t>effectiveStartDate</t>
  </si>
  <si>
    <t>meterId</t>
  </si>
  <si>
    <t>productId</t>
  </si>
  <si>
    <t>skuId</t>
  </si>
  <si>
    <t>availabilityId</t>
  </si>
  <si>
    <t>serviceId</t>
  </si>
  <si>
    <t>isPrimaryMeterRegion</t>
  </si>
  <si>
    <r>
      <t>"</t>
    </r>
    <r>
      <rPr>
        <b/>
        <sz val="11"/>
        <color theme="1"/>
        <rFont val="Calibri"/>
        <family val="2"/>
        <scheme val="minor"/>
      </rPr>
      <t>AWR Details</t>
    </r>
    <r>
      <rPr>
        <sz val="11"/>
        <color theme="1"/>
        <rFont val="Calibri"/>
        <family val="2"/>
        <scheme val="minor"/>
      </rPr>
      <t>" table below contains data extracted from AWR files. Review it to make sure values make sense. Also make sure there are no missing values (indicated by red cells).</t>
    </r>
  </si>
  <si>
    <r>
      <t>"</t>
    </r>
    <r>
      <rPr>
        <b/>
        <sz val="11"/>
        <color theme="1"/>
        <rFont val="Calibri"/>
        <family val="2"/>
        <scheme val="minor"/>
      </rPr>
      <t>Summary by Database Instance</t>
    </r>
    <r>
      <rPr>
        <sz val="11"/>
        <color theme="1"/>
        <rFont val="Calibri"/>
        <family val="2"/>
        <scheme val="minor"/>
      </rPr>
      <t>" table summarizes data per instance. You can use it to understand is there is any skew across different instances or if workload is homogeneously distributed.</t>
    </r>
  </si>
  <si>
    <r>
      <t>"</t>
    </r>
    <r>
      <rPr>
        <b/>
        <sz val="11"/>
        <color theme="1"/>
        <rFont val="Calibri"/>
        <family val="2"/>
        <scheme val="minor"/>
      </rPr>
      <t>Summary by Host Server</t>
    </r>
    <r>
      <rPr>
        <sz val="11"/>
        <color theme="1"/>
        <rFont val="Calibri"/>
        <family val="2"/>
        <scheme val="minor"/>
      </rPr>
      <t>" table summarizes data per host server. You can use it to understand is there is any skew across different instances or if workload is homogeneously distributed.</t>
    </r>
  </si>
  <si>
    <t>Cost/Month</t>
  </si>
  <si>
    <r>
      <t>Below are the list of VM recommendations for each "</t>
    </r>
    <r>
      <rPr>
        <b/>
        <sz val="11"/>
        <color theme="1"/>
        <rFont val="Calibri"/>
        <family val="2"/>
        <scheme val="minor"/>
      </rPr>
      <t>Azure Server Name"</t>
    </r>
    <r>
      <rPr>
        <sz val="11"/>
        <color theme="1"/>
        <rFont val="Calibri"/>
        <family val="2"/>
        <scheme val="minor"/>
      </rPr>
      <t xml:space="preserve"> you planned. Scroll right  to see DAS (Direct Attached Storage) recommendations for your workload (if any); scroll down to see NAS (Network Attached Storage) alternatives. Note that for a single "</t>
    </r>
    <r>
      <rPr>
        <b/>
        <sz val="11"/>
        <color theme="1"/>
        <rFont val="Calibri"/>
        <family val="2"/>
        <scheme val="minor"/>
      </rPr>
      <t>Azure Server Name</t>
    </r>
    <r>
      <rPr>
        <sz val="11"/>
        <color theme="1"/>
        <rFont val="Calibri"/>
        <family val="2"/>
        <scheme val="minor"/>
      </rPr>
      <t>" you need to select on virtual machine and one storage option (DAS or NAS).</t>
    </r>
  </si>
  <si>
    <t>Databases</t>
  </si>
  <si>
    <t>Recommended Azure VMs</t>
  </si>
  <si>
    <t>vmRecommendationPriority</t>
  </si>
  <si>
    <t>diskRecommendationPriority</t>
  </si>
  <si>
    <t>NetApp_MinIOPSForRecommendation</t>
  </si>
  <si>
    <t>RecommendVMCPUsLowerLimitPercent</t>
  </si>
  <si>
    <t>RecommendVMCPUsUpperLimitPercent</t>
  </si>
  <si>
    <t>RecommendVMMemoryLowerLimitPercent</t>
  </si>
  <si>
    <r>
      <t>1) "</t>
    </r>
    <r>
      <rPr>
        <b/>
        <sz val="11"/>
        <color theme="1"/>
        <rFont val="Calibri"/>
        <family val="2"/>
        <scheme val="minor"/>
      </rPr>
      <t>Summary by Database</t>
    </r>
    <r>
      <rPr>
        <sz val="11"/>
        <color theme="1"/>
        <rFont val="Calibri"/>
        <family val="2"/>
        <scheme val="minor"/>
      </rPr>
      <t>" table is the basis for all recommendations in the recommendations sheet. Observed perfromance values are aggregated by database and estimations are calculated using parameters in "</t>
    </r>
    <r>
      <rPr>
        <b/>
        <sz val="11"/>
        <color theme="1"/>
        <rFont val="Calibri"/>
        <family val="2"/>
        <scheme val="minor"/>
      </rPr>
      <t>Settings</t>
    </r>
    <r>
      <rPr>
        <sz val="11"/>
        <color theme="1"/>
        <rFont val="Calibri"/>
        <family val="2"/>
        <scheme val="minor"/>
      </rPr>
      <t>" sheet.
2) Modify "</t>
    </r>
    <r>
      <rPr>
        <b/>
        <sz val="11"/>
        <color theme="1"/>
        <rFont val="Calibri"/>
        <family val="2"/>
        <scheme val="minor"/>
      </rPr>
      <t>Azure Server Name</t>
    </r>
    <r>
      <rPr>
        <sz val="11"/>
        <color theme="1"/>
        <rFont val="Calibri"/>
        <family val="2"/>
        <scheme val="minor"/>
      </rPr>
      <t>" column to consolidate databases on certain servers. Recommendations will be made for each distinct server in this column.
3) Also enter database sizes in "</t>
    </r>
    <r>
      <rPr>
        <b/>
        <sz val="11"/>
        <color theme="1"/>
        <rFont val="Calibri"/>
        <family val="2"/>
        <scheme val="minor"/>
      </rPr>
      <t>Estimated Storage Size (GiB)</t>
    </r>
    <r>
      <rPr>
        <sz val="11"/>
        <color theme="1"/>
        <rFont val="Calibri"/>
        <family val="2"/>
        <scheme val="minor"/>
      </rPr>
      <t>" column to be used for storage recommendations. AWR files do not contain databse size information so they have to be entered manually.
4) When you complete this step, switch to "</t>
    </r>
    <r>
      <rPr>
        <b/>
        <sz val="11"/>
        <color theme="1"/>
        <rFont val="Calibri"/>
        <family val="2"/>
        <scheme val="minor"/>
      </rPr>
      <t>Recommendations</t>
    </r>
    <r>
      <rPr>
        <sz val="11"/>
        <color theme="1"/>
        <rFont val="Calibri"/>
        <family val="2"/>
        <scheme val="minor"/>
      </rPr>
      <t>" sheet.</t>
    </r>
  </si>
  <si>
    <t>Report Type</t>
  </si>
  <si>
    <t>NetApp_MinThroughputMBsForRecommendation</t>
  </si>
  <si>
    <t>Description</t>
  </si>
  <si>
    <t>Class</t>
  </si>
  <si>
    <t>Subclass</t>
  </si>
  <si>
    <t>AMDProcessor</t>
  </si>
  <si>
    <t>BlockStoragePerformance</t>
  </si>
  <si>
    <t>Diskful</t>
  </si>
  <si>
    <t>IsolatedSize</t>
  </si>
  <si>
    <t>LowMemory</t>
  </si>
  <si>
    <t>MemoryIntensive</t>
  </si>
  <si>
    <t>ARMProcessor</t>
  </si>
  <si>
    <t>TinyMemory</t>
  </si>
  <si>
    <t>PremiumStorage</t>
  </si>
  <si>
    <t>AcceleratorType</t>
  </si>
  <si>
    <t>Version</t>
  </si>
  <si>
    <t>Promo</t>
  </si>
  <si>
    <r>
      <t xml:space="preserve">This table summarizes capacity requirements for each </t>
    </r>
    <r>
      <rPr>
        <b/>
        <sz val="11"/>
        <color theme="1"/>
        <rFont val="Calibri"/>
        <family val="2"/>
        <scheme val="minor"/>
      </rPr>
      <t>Azure Server Name</t>
    </r>
    <r>
      <rPr>
        <sz val="11"/>
        <color theme="1"/>
        <rFont val="Calibri"/>
        <family val="2"/>
        <scheme val="minor"/>
      </rPr>
      <t xml:space="preserve"> as you planned in the </t>
    </r>
    <r>
      <rPr>
        <b/>
        <sz val="11"/>
        <color theme="1"/>
        <rFont val="Calibri"/>
        <family val="2"/>
        <scheme val="minor"/>
      </rPr>
      <t>Data</t>
    </r>
    <r>
      <rPr>
        <sz val="11"/>
        <color theme="1"/>
        <rFont val="Calibri"/>
        <family val="2"/>
        <scheme val="minor"/>
      </rPr>
      <t xml:space="preserve"> sheet.</t>
    </r>
  </si>
  <si>
    <t>UncachedDiskMBytesPerSecond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</si>
</sst>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409]#,##0"/>
    <numFmt numFmtId="166" formatCode="#,##0,,"/>
  </numFmts>
  <fonts count="6" x14ac:knownFonts="1">
    <font>
      <sz val="11"/>
      <color theme="1"/>
      <name val="Calibri"/>
      <family val="2"/>
      <scheme val="minor"/>
    </font>
    <font>
      <b/>
      <sz val="14"/>
      <color theme="1"/>
      <name val="Calibri"/>
      <family val="2"/>
      <scheme val="minor"/>
    </font>
    <font>
      <b/>
      <sz val="11"/>
      <color theme="1"/>
      <name val="Calibri"/>
      <family val="2"/>
      <scheme val="minor"/>
    </font>
    <font>
      <sz val="11"/>
      <color theme="1"/>
      <name val="Calibri"/>
      <family val="2"/>
      <scheme val="minor"/>
    </font>
    <font>
      <sz val="9"/>
      <color indexed="81"/>
      <name val="Tahoma"/>
      <family val="2"/>
    </font>
    <font>
      <b/>
      <sz val="14"/>
      <color rgb="FF000000"/>
      <name val="Calibri"/>
      <family val="2"/>
    </font>
  </fonts>
  <fills count="6">
    <fill>
      <patternFill patternType="none"/>
    </fill>
    <fill>
      <patternFill patternType="gray125"/>
    </fill>
    <fill>
      <patternFill patternType="solid">
        <fgColor theme="7"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5" tint="0.39997558519241921"/>
        <bgColor indexed="64"/>
      </patternFill>
    </fill>
  </fills>
  <borders count="1">
    <border>
      <left/>
      <right/>
      <top/>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27">
    <xf numFmtId="0" fontId="0" fillId="0" borderId="0" xfId="0"/>
    <xf numFmtId="0" fontId="1" fillId="0" borderId="0" xfId="0" applyFont="1"/>
    <xf numFmtId="3" fontId="0" fillId="0" borderId="0" xfId="0" applyNumberFormat="1"/>
    <xf numFmtId="9" fontId="0" fillId="0" borderId="0" xfId="0" applyNumberFormat="1"/>
    <xf numFmtId="4" fontId="0" fillId="0" borderId="0" xfId="0" applyNumberFormat="1"/>
    <xf numFmtId="0" fontId="0" fillId="0" borderId="0" xfId="0" applyAlignment="1">
      <alignment horizontal="center" wrapText="1"/>
    </xf>
    <xf numFmtId="0" fontId="0" fillId="0" borderId="0" xfId="0" applyAlignment="1">
      <alignment horizontal="center"/>
    </xf>
    <xf numFmtId="0" fontId="0" fillId="0" borderId="0" xfId="0" applyAlignment="1">
      <alignment horizontal="left" vertical="top"/>
    </xf>
    <xf numFmtId="0" fontId="0" fillId="0" borderId="0" xfId="0" applyAlignment="1">
      <alignment vertical="top"/>
    </xf>
    <xf numFmtId="0" fontId="1" fillId="3" borderId="0" xfId="0" applyFont="1" applyFill="1" applyAlignment="1">
      <alignment vertical="center"/>
    </xf>
    <xf numFmtId="3" fontId="0" fillId="4" borderId="0" xfId="0" applyNumberFormat="1" applyFill="1"/>
    <xf numFmtId="0" fontId="1" fillId="2" borderId="0" xfId="0" applyFont="1" applyFill="1"/>
    <xf numFmtId="0" fontId="0" fillId="0" borderId="0" xfId="0" applyAlignment="1">
      <alignment vertical="top" wrapText="1"/>
    </xf>
    <xf numFmtId="164" fontId="0" fillId="0" borderId="0" xfId="1" applyNumberFormat="1" applyFont="1"/>
    <xf numFmtId="9" fontId="0" fillId="0" borderId="0" xfId="2" applyFont="1"/>
    <xf numFmtId="165" fontId="0" fillId="0" borderId="0" xfId="1" applyNumberFormat="1" applyFont="1"/>
    <xf numFmtId="165" fontId="0" fillId="0" borderId="0" xfId="0" applyNumberFormat="1"/>
    <xf numFmtId="3" fontId="0" fillId="0" borderId="0" xfId="1" applyNumberFormat="1" applyFont="1"/>
    <xf numFmtId="166" fontId="0" fillId="0" borderId="0" xfId="0" applyNumberFormat="1"/>
    <xf numFmtId="0" fontId="0" fillId="3" borderId="0" xfId="0" applyFill="1" applyAlignment="1">
      <alignment horizontal="left" vertical="center" wrapText="1" indent="1"/>
    </xf>
    <xf numFmtId="0" fontId="0" fillId="0" borderId="0" xfId="0" applyAlignment="1">
      <alignment horizontal="left" vertical="top"/>
    </xf>
    <xf numFmtId="0" fontId="1" fillId="2" borderId="0" xfId="0" applyFont="1" applyFill="1" applyAlignment="1">
      <alignment horizontal="left" vertical="top"/>
    </xf>
    <xf numFmtId="0" fontId="0" fillId="2" borderId="0" xfId="0" applyFill="1" applyAlignment="1">
      <alignment horizontal="left" vertical="top"/>
    </xf>
    <xf numFmtId="0" fontId="0" fillId="2" borderId="0" xfId="0" applyFill="1" applyAlignment="1">
      <alignment horizontal="left"/>
    </xf>
    <xf numFmtId="0" fontId="1" fillId="5" borderId="0" xfId="0" applyFont="1" applyFill="1" applyAlignment="1">
      <alignment horizontal="left"/>
    </xf>
    <xf numFmtId="0" fontId="0" fillId="3" borderId="0" xfId="0" applyFill="1" applyAlignment="1">
      <alignment horizontal="left" vertical="center" wrapText="1"/>
    </xf>
    <xf numFmtId="0" fontId="1" fillId="3" borderId="0" xfId="0" applyFont="1" applyFill="1" applyAlignment="1">
      <alignment horizontal="left" vertical="center"/>
    </xf>
  </cellXfs>
  <cellStyles count="3">
    <cellStyle name="Comma" xfId="1" builtinId="3"/>
    <cellStyle name="Normal" xfId="0" builtinId="0"/>
    <cellStyle name="Percent" xfId="2" builtinId="5"/>
  </cellStyles>
  <dxfs count="112">
    <dxf>
      <numFmt numFmtId="4" formatCode="#,##0.00"/>
    </dxf>
    <dxf>
      <numFmt numFmtId="4" formatCode="#,##0.00"/>
    </dxf>
    <dxf>
      <numFmt numFmtId="3" formatCode="#,##0"/>
    </dxf>
    <dxf>
      <numFmt numFmtId="3" formatCode="#,##0"/>
    </dxf>
    <dxf>
      <numFmt numFmtId="165" formatCode="[$$-409]#,##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3" formatCode="#,##0"/>
    </dxf>
    <dxf>
      <numFmt numFmtId="166" formatCode="#,##0,,"/>
    </dxf>
    <dxf>
      <numFmt numFmtId="3" formatCode="#,##0"/>
    </dxf>
    <dxf>
      <numFmt numFmtId="165" formatCode="[$$-409]#,##0"/>
    </dxf>
    <dxf>
      <numFmt numFmtId="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1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fgColor indexed="64"/>
          <bgColor rgb="FFFF7C8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microsoft.com/office/2007/relationships/slicerCache" Target="slicerCaches/slicerCache1.xml"/><Relationship Id="rId12" Type="http://schemas.microsoft.com/office/2007/relationships/slicerCache" Target="slicerCaches/slicerCache6.xml"/><Relationship Id="rId17" Type="http://schemas.microsoft.com/office/2007/relationships/slicerCache" Target="slicerCaches/slicerCache1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9.xml"/><Relationship Id="rId23" Type="http://schemas.openxmlformats.org/officeDocument/2006/relationships/customXml" Target="../customXml/item1.xml"/><Relationship Id="rId10" Type="http://schemas.microsoft.com/office/2007/relationships/slicerCache" Target="slicerCaches/slicerCache4.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219075</xdr:rowOff>
        </xdr:from>
        <xdr:to>
          <xdr:col>2</xdr:col>
          <xdr:colOff>0</xdr:colOff>
          <xdr:row>1</xdr:row>
          <xdr:rowOff>876300</xdr:rowOff>
        </xdr:to>
        <xdr:sp macro="" textlink="">
          <xdr:nvSpPr>
            <xdr:cNvPr id="2052" name="butRefresh"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Refresh Recommendations</a:t>
              </a:r>
            </a:p>
          </xdr:txBody>
        </xdr:sp>
        <xdr:clientData fPrintsWithSheet="0"/>
      </xdr:twoCellAnchor>
    </mc:Choice>
    <mc:Fallback/>
  </mc:AlternateContent>
  <xdr:twoCellAnchor editAs="absolute">
    <xdr:from>
      <xdr:col>5</xdr:col>
      <xdr:colOff>241300</xdr:colOff>
      <xdr:row>0</xdr:row>
      <xdr:rowOff>47624</xdr:rowOff>
    </xdr:from>
    <xdr:to>
      <xdr:col>7</xdr:col>
      <xdr:colOff>39370</xdr:colOff>
      <xdr:row>1</xdr:row>
      <xdr:rowOff>1114424</xdr:rowOff>
    </xdr:to>
    <mc:AlternateContent xmlns:mc="http://schemas.openxmlformats.org/markup-compatibility/2006" xmlns:sle15="http://schemas.microsoft.com/office/drawing/2012/slicer">
      <mc:Choice Requires="sle15">
        <xdr:graphicFrame macro="">
          <xdr:nvGraphicFramePr>
            <xdr:cNvPr id="13" name="vmSku_name">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vmSku_name"/>
            </a:graphicData>
          </a:graphic>
        </xdr:graphicFrame>
      </mc:Choice>
      <mc:Fallback xmlns="">
        <xdr:sp macro="" textlink="">
          <xdr:nvSpPr>
            <xdr:cNvPr id="0" name=""/>
            <xdr:cNvSpPr>
              <a:spLocks noTextEdit="1"/>
            </xdr:cNvSpPr>
          </xdr:nvSpPr>
          <xdr:spPr>
            <a:xfrm>
              <a:off x="7146925" y="47624"/>
              <a:ext cx="256032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76200</xdr:colOff>
      <xdr:row>0</xdr:row>
      <xdr:rowOff>47624</xdr:rowOff>
    </xdr:from>
    <xdr:to>
      <xdr:col>8</xdr:col>
      <xdr:colOff>66675</xdr:colOff>
      <xdr:row>1</xdr:row>
      <xdr:rowOff>1114424</xdr:rowOff>
    </xdr:to>
    <mc:AlternateContent xmlns:mc="http://schemas.openxmlformats.org/markup-compatibility/2006" xmlns:sle15="http://schemas.microsoft.com/office/drawing/2012/slicer">
      <mc:Choice Requires="sle15">
        <xdr:graphicFrame macro="">
          <xdr:nvGraphicFramePr>
            <xdr:cNvPr id="14" name="vCPUsAvailable">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vCPUsAvailable"/>
            </a:graphicData>
          </a:graphic>
        </xdr:graphicFrame>
      </mc:Choice>
      <mc:Fallback xmlns="">
        <xdr:sp macro="" textlink="">
          <xdr:nvSpPr>
            <xdr:cNvPr id="0" name=""/>
            <xdr:cNvSpPr>
              <a:spLocks noTextEdit="1"/>
            </xdr:cNvSpPr>
          </xdr:nvSpPr>
          <xdr:spPr>
            <a:xfrm>
              <a:off x="9744075"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85723</xdr:colOff>
      <xdr:row>0</xdr:row>
      <xdr:rowOff>47624</xdr:rowOff>
    </xdr:from>
    <xdr:to>
      <xdr:col>9</xdr:col>
      <xdr:colOff>76198</xdr:colOff>
      <xdr:row>1</xdr:row>
      <xdr:rowOff>1114424</xdr:rowOff>
    </xdr:to>
    <mc:AlternateContent xmlns:mc="http://schemas.openxmlformats.org/markup-compatibility/2006" xmlns:sle15="http://schemas.microsoft.com/office/drawing/2012/slicer">
      <mc:Choice Requires="sle15">
        <xdr:graphicFrame macro="">
          <xdr:nvGraphicFramePr>
            <xdr:cNvPr id="15" name="vCPUsPerCore">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vCPUsPerCore"/>
            </a:graphicData>
          </a:graphic>
        </xdr:graphicFrame>
      </mc:Choice>
      <mc:Fallback xmlns="">
        <xdr:sp macro="" textlink="">
          <xdr:nvSpPr>
            <xdr:cNvPr id="0" name=""/>
            <xdr:cNvSpPr>
              <a:spLocks noTextEdit="1"/>
            </xdr:cNvSpPr>
          </xdr:nvSpPr>
          <xdr:spPr>
            <a:xfrm>
              <a:off x="11134723"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95251</xdr:colOff>
      <xdr:row>0</xdr:row>
      <xdr:rowOff>47624</xdr:rowOff>
    </xdr:from>
    <xdr:to>
      <xdr:col>10</xdr:col>
      <xdr:colOff>85726</xdr:colOff>
      <xdr:row>1</xdr:row>
      <xdr:rowOff>1114424</xdr:rowOff>
    </xdr:to>
    <mc:AlternateContent xmlns:mc="http://schemas.openxmlformats.org/markup-compatibility/2006" xmlns:sle15="http://schemas.microsoft.com/office/drawing/2012/slicer">
      <mc:Choice Requires="sle15">
        <xdr:graphicFrame macro="">
          <xdr:nvGraphicFramePr>
            <xdr:cNvPr id="16" name="diskSku_name">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diskSku_name"/>
            </a:graphicData>
          </a:graphic>
        </xdr:graphicFrame>
      </mc:Choice>
      <mc:Fallback xmlns="">
        <xdr:sp macro="" textlink="">
          <xdr:nvSpPr>
            <xdr:cNvPr id="0" name=""/>
            <xdr:cNvSpPr>
              <a:spLocks noTextEdit="1"/>
            </xdr:cNvSpPr>
          </xdr:nvSpPr>
          <xdr:spPr>
            <a:xfrm>
              <a:off x="125253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104776</xdr:colOff>
      <xdr:row>0</xdr:row>
      <xdr:rowOff>47624</xdr:rowOff>
    </xdr:from>
    <xdr:to>
      <xdr:col>11</xdr:col>
      <xdr:colOff>95251</xdr:colOff>
      <xdr:row>1</xdr:row>
      <xdr:rowOff>1114424</xdr:rowOff>
    </xdr:to>
    <mc:AlternateContent xmlns:mc="http://schemas.openxmlformats.org/markup-compatibility/2006" xmlns:sle15="http://schemas.microsoft.com/office/drawing/2012/slicer">
      <mc:Choice Requires="sle15">
        <xdr:graphicFrame macro="">
          <xdr:nvGraphicFramePr>
            <xdr:cNvPr id="17" name="diskSku_size">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diskSku_size"/>
            </a:graphicData>
          </a:graphic>
        </xdr:graphicFrame>
      </mc:Choice>
      <mc:Fallback xmlns="">
        <xdr:sp macro="" textlink="">
          <xdr:nvSpPr>
            <xdr:cNvPr id="0" name=""/>
            <xdr:cNvSpPr>
              <a:spLocks noTextEdit="1"/>
            </xdr:cNvSpPr>
          </xdr:nvSpPr>
          <xdr:spPr>
            <a:xfrm>
              <a:off x="1391602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114301</xdr:colOff>
      <xdr:row>0</xdr:row>
      <xdr:rowOff>47624</xdr:rowOff>
    </xdr:from>
    <xdr:to>
      <xdr:col>11</xdr:col>
      <xdr:colOff>1485901</xdr:colOff>
      <xdr:row>1</xdr:row>
      <xdr:rowOff>1114424</xdr:rowOff>
    </xdr:to>
    <mc:AlternateContent xmlns:mc="http://schemas.openxmlformats.org/markup-compatibility/2006" xmlns:sle15="http://schemas.microsoft.com/office/drawing/2012/slicer">
      <mc:Choice Requires="sle15">
        <xdr:graphicFrame macro="">
          <xdr:nvGraphicFramePr>
            <xdr:cNvPr id="18" name="diskSku_tier">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0/slicer">
              <sle:slicer xmlns:sle="http://schemas.microsoft.com/office/drawing/2010/slicer" name="diskSku_tier"/>
            </a:graphicData>
          </a:graphic>
        </xdr:graphicFrame>
      </mc:Choice>
      <mc:Fallback xmlns="">
        <xdr:sp macro="" textlink="">
          <xdr:nvSpPr>
            <xdr:cNvPr id="0" name=""/>
            <xdr:cNvSpPr>
              <a:spLocks noTextEdit="1"/>
            </xdr:cNvSpPr>
          </xdr:nvSpPr>
          <xdr:spPr>
            <a:xfrm>
              <a:off x="153066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0</xdr:row>
      <xdr:rowOff>38100</xdr:rowOff>
    </xdr:from>
    <xdr:to>
      <xdr:col>3</xdr:col>
      <xdr:colOff>668655</xdr:colOff>
      <xdr:row>1</xdr:row>
      <xdr:rowOff>190500</xdr:rowOff>
    </xdr:to>
    <mc:AlternateContent xmlns:mc="http://schemas.openxmlformats.org/markup-compatibility/2006" xmlns:sle15="http://schemas.microsoft.com/office/drawing/2012/slicer">
      <mc:Choice Requires="sle15">
        <xdr:graphicFrame macro="">
          <xdr:nvGraphicFramePr>
            <xdr:cNvPr id="2" name="vmRecommendationPriority">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vmRecommendationPriority"/>
            </a:graphicData>
          </a:graphic>
        </xdr:graphicFrame>
      </mc:Choice>
      <mc:Fallback xmlns="">
        <xdr:sp macro="" textlink="">
          <xdr:nvSpPr>
            <xdr:cNvPr id="0" name=""/>
            <xdr:cNvSpPr>
              <a:spLocks noTextEdit="1"/>
            </xdr:cNvSpPr>
          </xdr:nvSpPr>
          <xdr:spPr>
            <a:xfrm>
              <a:off x="2800350" y="38100"/>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1</xdr:row>
      <xdr:rowOff>200025</xdr:rowOff>
    </xdr:from>
    <xdr:to>
      <xdr:col>3</xdr:col>
      <xdr:colOff>668655</xdr:colOff>
      <xdr:row>1</xdr:row>
      <xdr:rowOff>1114425</xdr:rowOff>
    </xdr:to>
    <mc:AlternateContent xmlns:mc="http://schemas.openxmlformats.org/markup-compatibility/2006" xmlns:sle15="http://schemas.microsoft.com/office/drawing/2012/slicer">
      <mc:Choice Requires="sle15">
        <xdr:graphicFrame macro="">
          <xdr:nvGraphicFramePr>
            <xdr:cNvPr id="3" name="diskRecommendationPriority">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diskRecommendationPriority"/>
            </a:graphicData>
          </a:graphic>
        </xdr:graphicFrame>
      </mc:Choice>
      <mc:Fallback xmlns="">
        <xdr:sp macro="" textlink="">
          <xdr:nvSpPr>
            <xdr:cNvPr id="0" name=""/>
            <xdr:cNvSpPr>
              <a:spLocks noTextEdit="1"/>
            </xdr:cNvSpPr>
          </xdr:nvSpPr>
          <xdr:spPr>
            <a:xfrm>
              <a:off x="2800350" y="962025"/>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704851</xdr:colOff>
      <xdr:row>0</xdr:row>
      <xdr:rowOff>38100</xdr:rowOff>
    </xdr:from>
    <xdr:to>
      <xdr:col>4</xdr:col>
      <xdr:colOff>333376</xdr:colOff>
      <xdr:row>1</xdr:row>
      <xdr:rowOff>1104900</xdr:rowOff>
    </xdr:to>
    <mc:AlternateContent xmlns:mc="http://schemas.openxmlformats.org/markup-compatibility/2006" xmlns:sle15="http://schemas.microsoft.com/office/drawing/2012/slicer">
      <mc:Choice Requires="sle15">
        <xdr:graphicFrame macro="">
          <xdr:nvGraphicFramePr>
            <xdr:cNvPr id="4" name="Class">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4848226" y="38100"/>
              <a:ext cx="100965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0</xdr:row>
      <xdr:rowOff>38100</xdr:rowOff>
    </xdr:from>
    <xdr:to>
      <xdr:col>5</xdr:col>
      <xdr:colOff>190500</xdr:colOff>
      <xdr:row>1</xdr:row>
      <xdr:rowOff>181356</xdr:rowOff>
    </xdr:to>
    <mc:AlternateContent xmlns:mc="http://schemas.openxmlformats.org/markup-compatibility/2006" xmlns:sle15="http://schemas.microsoft.com/office/drawing/2012/slicer">
      <mc:Choice Requires="sle15">
        <xdr:graphicFrame macro="">
          <xdr:nvGraphicFramePr>
            <xdr:cNvPr id="5" name="AMDProcessor">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AMDProcessor"/>
            </a:graphicData>
          </a:graphic>
        </xdr:graphicFrame>
      </mc:Choice>
      <mc:Fallback xmlns="">
        <xdr:sp macro="" textlink="">
          <xdr:nvSpPr>
            <xdr:cNvPr id="0" name=""/>
            <xdr:cNvSpPr>
              <a:spLocks noTextEdit="1"/>
            </xdr:cNvSpPr>
          </xdr:nvSpPr>
          <xdr:spPr>
            <a:xfrm>
              <a:off x="5876925" y="38100"/>
              <a:ext cx="1219200" cy="9052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1</xdr:row>
      <xdr:rowOff>200026</xdr:rowOff>
    </xdr:from>
    <xdr:to>
      <xdr:col>5</xdr:col>
      <xdr:colOff>190500</xdr:colOff>
      <xdr:row>1</xdr:row>
      <xdr:rowOff>1096138</xdr:rowOff>
    </xdr:to>
    <mc:AlternateContent xmlns:mc="http://schemas.openxmlformats.org/markup-compatibility/2006" xmlns:sle15="http://schemas.microsoft.com/office/drawing/2012/slicer">
      <mc:Choice Requires="sle15">
        <xdr:graphicFrame macro="">
          <xdr:nvGraphicFramePr>
            <xdr:cNvPr id="6" name="Diskful">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Diskful"/>
            </a:graphicData>
          </a:graphic>
        </xdr:graphicFrame>
      </mc:Choice>
      <mc:Fallback xmlns="">
        <xdr:sp macro="" textlink="">
          <xdr:nvSpPr>
            <xdr:cNvPr id="0" name=""/>
            <xdr:cNvSpPr>
              <a:spLocks noTextEdit="1"/>
            </xdr:cNvSpPr>
          </xdr:nvSpPr>
          <xdr:spPr>
            <a:xfrm>
              <a:off x="5876925" y="962026"/>
              <a:ext cx="1219200" cy="8961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3787C26F-60E0-4EB2-99B5-987561A5AB35}" sourceName="name">
  <extLst>
    <x:ext xmlns:x15="http://schemas.microsoft.com/office/spreadsheetml/2010/11/main" uri="{2F2917AC-EB37-4324-AD4E-5DD8C200BD13}">
      <x15:tableSlicerCache tableId="7"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Available" xr10:uid="{9BA433C2-2B48-4A6A-B435-CE1B9320CDDE}" sourceName="vCPUsAvailable">
  <extLst>
    <x:ext xmlns:x15="http://schemas.microsoft.com/office/spreadsheetml/2010/11/main" uri="{2F2917AC-EB37-4324-AD4E-5DD8C200BD13}">
      <x15:tableSlicerCache tableId="7" column="1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PerCore" xr10:uid="{AECC032B-1955-4D68-BF44-75FC6AA6822E}" sourceName="vCPUsPerCore">
  <extLst>
    <x:ext xmlns:x15="http://schemas.microsoft.com/office/spreadsheetml/2010/11/main" uri="{2F2917AC-EB37-4324-AD4E-5DD8C200BD13}">
      <x15:tableSlicerCache tableId="7" column="2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1" xr10:uid="{4E843983-F8FB-4D12-9B84-94A0DF7EF3D1}" sourceName="name">
  <extLst>
    <x:ext xmlns:x15="http://schemas.microsoft.com/office/spreadsheetml/2010/11/main" uri="{2F2917AC-EB37-4324-AD4E-5DD8C200BD13}">
      <x15:tableSlicerCache tableId="10"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C45F57B1-FDDA-4048-A774-0D16EFF58E37}" sourceName="size">
  <extLst>
    <x:ext xmlns:x15="http://schemas.microsoft.com/office/spreadsheetml/2010/11/main" uri="{2F2917AC-EB37-4324-AD4E-5DD8C200BD13}">
      <x15:tableSlicerCache tableId="10"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er" xr10:uid="{01A4362E-F4C3-430F-8D06-F5B6DD108097}" sourceName="tier">
  <extLst>
    <x:ext xmlns:x15="http://schemas.microsoft.com/office/spreadsheetml/2010/11/main" uri="{2F2917AC-EB37-4324-AD4E-5DD8C200BD13}">
      <x15:tableSlicerCache tableId="10"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mRecommendationPriority" xr10:uid="{8D165D77-88EA-41ED-B5AA-5B22496B8391}" sourceName="vmRecommendationPriority">
  <extLst>
    <x:ext xmlns:x15="http://schemas.microsoft.com/office/spreadsheetml/2010/11/main" uri="{2F2917AC-EB37-4324-AD4E-5DD8C200BD13}">
      <x15:tableSlicerCache tableId="7" column="42" sortOrder="descending"/>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RecommendationPriority" xr10:uid="{4397D510-3087-4EAB-B192-77C931AFDB2F}" sourceName="diskRecommendationPriority">
  <extLst>
    <x:ext xmlns:x15="http://schemas.microsoft.com/office/spreadsheetml/2010/11/main" uri="{2F2917AC-EB37-4324-AD4E-5DD8C200BD13}">
      <x15:tableSlicerCache tableId="10" column="38" sortOrder="descending"/>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76D2446E-F947-42FD-8EAF-0C7B0D911077}" sourceName="Class">
  <extLst>
    <x:ext xmlns:x15="http://schemas.microsoft.com/office/spreadsheetml/2010/11/main" uri="{2F2917AC-EB37-4324-AD4E-5DD8C200BD13}">
      <x15:tableSlicerCache tableId="7"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DProcessor" xr10:uid="{FFD9862B-C904-4569-8AF4-39AD76C10C01}" sourceName="AMDProcessor">
  <extLst>
    <x:ext xmlns:x15="http://schemas.microsoft.com/office/spreadsheetml/2010/11/main" uri="{2F2917AC-EB37-4324-AD4E-5DD8C200BD13}">
      <x15:tableSlicerCache tableId="7" column="11"/>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ful" xr10:uid="{4ED1CC35-F662-481E-A322-932D95FB4561}" sourceName="Diskful">
  <extLst>
    <x:ext xmlns:x15="http://schemas.microsoft.com/office/spreadsheetml/2010/11/main" uri="{2F2917AC-EB37-4324-AD4E-5DD8C200BD13}">
      <x15:tableSlicerCache tableId="7"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mSku_name" xr10:uid="{F10A2DF2-EA93-4C18-9954-D43C954F60DA}" cache="Slicer_name" caption="Vm Name" rowHeight="241300"/>
  <slicer name="vCPUsAvailable" xr10:uid="{9AE4E252-B1F9-4395-A318-EB5F80E324B4}" cache="Slicer_vCPUsAvailable" caption="#vCpus" rowHeight="241300"/>
  <slicer name="vCPUsPerCore" xr10:uid="{43830B4B-7D57-4FE9-962B-7E6A64D53C84}" cache="Slicer_vCPUsPerCore" caption="vCPUs/Core" rowHeight="241300"/>
  <slicer name="diskSku_name" xr10:uid="{AE1B20A5-AA1C-4613-BF78-E0C1E9288E80}" cache="Slicer_name1" caption="Disk Name" rowHeight="241300"/>
  <slicer name="diskSku_size" xr10:uid="{54906DE6-9842-4A8E-B75B-AB402DE30AF0}" cache="Slicer_size" caption="Disk Size" rowHeight="241300"/>
  <slicer name="diskSku_tier" xr10:uid="{4365F5E9-6F8C-4A11-8F97-B5797B8B9CCC}" cache="Slicer_tier" caption="Disk Tier" rowHeight="241300"/>
  <slicer name="vmRecommendationPriority" xr10:uid="{37044D86-C72C-49B5-BFF7-251652B84D2E}" cache="Slicer_vmRecommendationPriority" caption="VM Recommendation" rowHeight="241300"/>
  <slicer name="diskRecommendationPriority" xr10:uid="{BA76E357-0D28-4EED-A52D-CEC1DAC4CC32}" cache="Slicer_diskRecommendationPriority" caption="Disk Recommendation" rowHeight="241300"/>
  <slicer name="Class" xr10:uid="{7CD1F49B-F623-4AA3-86C3-F1E6DA53C7D5}" cache="Slicer_Class" caption="Class" rowHeight="241300"/>
  <slicer name="AMDProcessor" xr10:uid="{BBEB9E69-BEEE-4AF9-A903-930FF5D1D9E4}" cache="Slicer_AMDProcessor" caption="AMD" rowHeight="241300"/>
  <slicer name="Diskful" xr10:uid="{488647AE-6F87-41C2-BF37-8434F98B1CEA}" cache="Slicer_Diskful" caption="Diskful"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E927C9-DCC7-44CC-9112-8113A60749ED}" name="AWRData" displayName="AWRData" ref="A3:Z5" totalsRowCount="1">
  <autoFilter ref="A3:Z4" xr:uid="{3AE927C9-DCC7-44CC-9112-8113A60749ED}"/>
  <tableColumns count="26">
    <tableColumn id="1" xr3:uid="{E9DC10AD-A432-4FB3-97CB-C1CD523D0229}" name="Instance Index" totalsRowLabel="Total"/>
    <tableColumn id="2" xr3:uid="{22D9510E-735F-4433-A968-EF6B5A372B89}" name="Release#"/>
    <tableColumn id="3" xr3:uid="{35C7D14E-6664-47DB-A5AF-F3ED71E6873A}" name="DB Name"/>
    <tableColumn id="4" xr3:uid="{6CA9FA34-9099-4C75-8B78-ABF2CF774093}" name="Instance Name"/>
    <tableColumn id="5" xr3:uid="{25A3A422-28F1-432D-8223-843E654B52CD}" name="Host Name"/>
    <tableColumn id="6" xr3:uid="{541FDA35-CB71-4552-A65D-14038253F2BC}" name="Elapsed Time (mins)" totalsRowFunction="sum" dataDxfId="110" totalsRowDxfId="109"/>
    <tableColumn id="7" xr3:uid="{2AA813B1-C2C9-4C0D-951A-F33C6F780A46}" name="DB Time (mins)" totalsRowFunction="sum" dataDxfId="108" totalsRowDxfId="107"/>
    <tableColumn id="8" xr3:uid="{1357CE89-D2D8-4B0D-ADB4-4726A8A9357B}" name="DB CPU" totalsRowFunction="sum" dataDxfId="106" totalsRowDxfId="105"/>
    <tableColumn id="9" xr3:uid="{A0BD86B8-EC6A-4379-95AD-4C3A0AF21023}" name="CPUs" totalsRowFunction="sum" dataDxfId="104" totalsRowDxfId="103"/>
    <tableColumn id="10" xr3:uid="{86C2D852-3F34-4445-AA1E-E70EC6A527F3}" name="Cores" totalsRowFunction="sum" dataDxfId="102" totalsRowDxfId="101"/>
    <tableColumn id="11" xr3:uid="{643C3C65-26DC-4A21-B74B-385B8CB6B167}" name="Memory (GB)" totalsRowFunction="sum" dataDxfId="100" totalsRowDxfId="99"/>
    <tableColumn id="12" xr3:uid="{8C782AAD-F0F2-4790-BD63-006D2350277D}" name="% Busy CPU" totalsRowFunction="sum" dataDxfId="98" totalsRowDxfId="97"/>
    <tableColumn id="13" xr3:uid="{4F188F55-0B0F-440E-99D5-D60CBA42682C}" name="SGA Use (MB)" totalsRowFunction="sum" dataDxfId="96" totalsRowDxfId="95"/>
    <tableColumn id="14" xr3:uid="{24D979AD-9CC1-42B5-9B8D-CD03F9E2DC80}" name="PGA Use (MB)" totalsRowFunction="sum" dataDxfId="94" totalsRowDxfId="93"/>
    <tableColumn id="15" xr3:uid="{95DCA768-192F-4D2F-AF60-D403D97F0A90}" name="Read Throughput (MB/s)" totalsRowFunction="sum" dataDxfId="92" totalsRowDxfId="91"/>
    <tableColumn id="16" xr3:uid="{7CFBE247-7716-47D7-AA1E-43B18DC1B36E}" name="Write Throughput (MB/s)" totalsRowFunction="sum" dataDxfId="90" totalsRowDxfId="89"/>
    <tableColumn id="17" xr3:uid="{8F9E69BE-E9E8-4120-AE08-A4C0F20CA96C}" name="Read IOPS" totalsRowFunction="sum" dataDxfId="88" totalsRowDxfId="87"/>
    <tableColumn id="18" xr3:uid="{5CBE1032-BA84-4C03-ABEB-78D9CDA2B042}" name="Write IOPS" totalsRowFunction="sum" dataDxfId="86" totalsRowDxfId="85"/>
    <tableColumn id="19" xr3:uid="{2D8A81A0-D8E7-4004-809B-3CF8ED76A402}" name="Total Throughput (MB/s)" totalsRowFunction="sum" dataDxfId="84" totalsRowDxfId="83">
      <calculatedColumnFormula>AWRData[[#This Row],[Read Throughput (MB/s)]]+AWRData[[#This Row],[Write Throughput (MB/s)]]</calculatedColumnFormula>
    </tableColumn>
    <tableColumn id="20" xr3:uid="{7DC34EE6-F242-4CF9-ADC1-447D4448E486}" name="Total IOPS" totalsRowFunction="sum" dataDxfId="82" totalsRowDxfId="81">
      <calculatedColumnFormula>AWRData[[#This Row],[Read IOPS]]+AWRData[[#This Row],[Write IOPS]]</calculatedColumnFormula>
    </tableColumn>
    <tableColumn id="21" xr3:uid="{26A3D41C-85CA-4619-9B07-F344CD1EEF71}" name="CPU Total Capacity (sec)" totalsRowFunction="sum" dataDxfId="80" totalsRowDxfId="79">
      <calculatedColumnFormula>(AWRData[[#This Row],[Elapsed Time (mins)]]*60)+AWRData[[#This Row],[CPUs]]</calculatedColumnFormula>
    </tableColumn>
    <tableColumn id="22" xr3:uid="{F3DCD22F-107D-47B2-9CF3-FC53A0FBE19F}" name="Observed Memory Use (GB)" totalsRowFunction="sum" dataDxfId="78" totalsRowDxfId="77">
      <calculatedColumnFormula>(AWRData[[#This Row],[SGA Use (MB)]]+AWRData[[#This Row],[PGA Use (MB)]])/1024</calculatedColumnFormula>
    </tableColumn>
    <tableColumn id="23" xr3:uid="{18C7C344-BE79-4EC2-B878-82E98124EEB6}" name="Source CPU HT Factor" totalsRowFunction="sum" dataDxfId="76" totalsRowDxfId="75">
      <calculatedColumnFormula>AWRData[[#This Row],[CPUs]]/AWRData[[#This Row],[Cores]]</calculatedColumnFormula>
    </tableColumn>
    <tableColumn id="24" xr3:uid="{405C741A-A3FF-4A5F-B0E9-C1B39F550C3D}" name="Average Active Sessions" totalsRowFunction="sum" dataDxfId="0" totalsRowDxfId="74">
      <calculatedColumnFormula>AWRData[[#This Row],[DB Time (mins)]]/AWRData[[#This Row],[Elapsed Time (mins)]]</calculatedColumnFormula>
    </tableColumn>
    <tableColumn id="25" xr3:uid="{9EDF9B89-A879-4BA9-8249-E1ABB9BDD8CF}" name="AWR Report File"/>
    <tableColumn id="26" xr3:uid="{C1A43E91-6BCA-499A-A250-8AC718A7C344}" name="Report Type" dataDxfId="7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28AEE3-4178-4F33-932B-5110C70AF35C}" name="InstSummary" displayName="InstSummary" ref="A9:G11" totalsRowCount="1">
  <autoFilter ref="A9:G10" xr:uid="{FD28AEE3-4178-4F33-932B-5110C70AF35C}"/>
  <tableColumns count="7">
    <tableColumn id="1" xr3:uid="{27CF4CC5-1E01-4D9B-BE0B-48FDD4AE1644}" name="DB Name" totalsRowLabel="Total"/>
    <tableColumn id="2" xr3:uid="{BDDA96F9-FB79-4825-A115-538174182D64}" name="Instance Name"/>
    <tableColumn id="3" xr3:uid="{95D9E021-00E5-4DE8-A2E4-2599CEA58E8A}" name="%DB Time of Elapsed Time (aka Avg Active Sessions or &quot;AAS&quot;)" totalsRowFunction="sum" dataDxfId="72" totalsRowDxfId="71">
      <calculatedColumnFormula>IF(InstSummary[[#This Row],[Instance Name]]="","",SUMIFS(AWRData[DB Time (mins)],AWRData[Instance Name],InstSummary[[#This Row],[Instance Name]])/SUMIFS(AWRData[Elapsed Time (mins)],AWRData[Instance Name],InstSummary[[#This Row],[Instance Name]]))</calculatedColumnFormula>
    </tableColumn>
    <tableColumn id="4" xr3:uid="{6A437975-4DC9-4B81-9678-63DE4ABBABBA}" name="Observed memory use (GB)" totalsRowFunction="sum" dataDxfId="70" totalsRowDxfId="69">
      <calculatedColumnFormula>IF(InstSummary[[#This Row],[Instance Name]]="","",SUMIFS(AWRData[Observed Memory Use (GB)],AWRData[Instance Name],InstSummary[[#This Row],[Instance Name]]))</calculatedColumnFormula>
    </tableColumn>
    <tableColumn id="5" xr3:uid="{9C43B67A-90D6-4714-B328-26E58EF0015D}" name="Observed IOPS" totalsRowFunction="sum" dataDxfId="68" totalsRowDxfId="67">
      <calculatedColumnFormula>IF(InstSummary[[#This Row],[Instance Name]]="","",SUMIFS(AWRData[Total IOPS],AWRData[Instance Name],InstSummary[[#This Row],[Instance Name]]))</calculatedColumnFormula>
    </tableColumn>
    <tableColumn id="6" xr3:uid="{CA756D49-D65F-492C-9D42-7CDDBB2D5BED}" name="Observed Throughput (MB/s)" totalsRowFunction="sum" dataDxfId="66" totalsRowDxfId="65">
      <calculatedColumnFormula>IF(InstSummary[[#This Row],[Instance Name]]="","",SUMIFS(AWRData[Total Throughput (MB/s)],AWRData[Instance Name],InstSummary[[#This Row],[Instance Name]]))</calculatedColumnFormula>
    </tableColumn>
    <tableColumn id="7" xr3:uid="{756FD819-9167-4D6E-A983-ABC89BE941E6}" name="Observed vCPUs" totalsRowFunction="sum" dataDxfId="64" totalsRowDxfId="63">
      <calculatedColumnFormula>IF(InstSummary[[#This Row],[Instance Name]]="","",InstSummary[[#This Row],[%DB Time of Elapsed Time (aka Avg Active Sessions or "AAS")]]*(vCPUHTFactor/SUMIFS(AWRData[Source CPU HT Factor],AWRData[Instance Name],InstSummary[[#This Row],[Instance Name]])))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9A9C5E-2FBB-452B-A254-6D2CAD971B1D}" name="HostSummary" displayName="HostSummary" ref="A15:F17" totalsRowCount="1">
  <autoFilter ref="A15:F16" xr:uid="{ED9A9C5E-2FBB-452B-A254-6D2CAD971B1D}"/>
  <tableColumns count="6">
    <tableColumn id="1" xr3:uid="{28397501-B421-4798-9284-4C968A9870FD}" name="Host Name" totalsRowLabel="Total"/>
    <tableColumn id="2" xr3:uid="{B3BCE7BC-6438-44B0-8AD9-2790260EFEC3}" name="%DB Time of Elapsed Time (aka Avg Active Sessions or &quot;AAS&quot;)" totalsRowFunction="sum" dataDxfId="62" totalsRowDxfId="61">
      <calculatedColumnFormula>IF(HostSummary[[#This Row],[Host Name]]="","",SUMIFS(AWRData[DB Time (mins)],AWRData[Host Name],HostSummary[[#This Row],[Host Name]])/SUMIFS(AWRData[Elapsed Time (mins)],AWRData[Host Name],HostSummary[[#This Row],[Host Name]]))</calculatedColumnFormula>
    </tableColumn>
    <tableColumn id="3" xr3:uid="{A0CB0932-FDBD-4EED-BD98-166EEDE79B0A}" name="Observed memory use (GB)" totalsRowFunction="sum" dataDxfId="60" totalsRowDxfId="59">
      <calculatedColumnFormula>IF(HostSummary[[#This Row],[Host Name]]="","",SUMIFS(AWRData[Observed Memory Use (GB)],AWRData[Host Name],HostSummary[[#This Row],[Host Name]]))</calculatedColumnFormula>
    </tableColumn>
    <tableColumn id="4" xr3:uid="{B81A12B3-0713-49F9-860B-E3B4F37044D1}" name="Observed IOPS" totalsRowFunction="sum" dataDxfId="58" totalsRowDxfId="57">
      <calculatedColumnFormula>IF(HostSummary[[#This Row],[Host Name]]="","",SUMIFS(AWRData[Total IOPS],AWRData[Host Name],HostSummary[[#This Row],[Host Name]]))</calculatedColumnFormula>
    </tableColumn>
    <tableColumn id="5" xr3:uid="{C6EEE4F6-5246-4420-9A71-7B38ACBA606D}" name="Observed Throughput (MB/s)" totalsRowFunction="sum" dataDxfId="56" totalsRowDxfId="55">
      <calculatedColumnFormula>IF(HostSummary[[#This Row],[Host Name]]="","",SUMIFS(AWRData[Total Throughput (MB/s)],AWRData[Host Name],HostSummary[[#This Row],[Host Name]]))</calculatedColumnFormula>
    </tableColumn>
    <tableColumn id="6" xr3:uid="{739F7763-777A-4FAB-97F2-CE8ED97D34D0}" name="Observed vCPUs" totalsRowFunction="sum" dataDxfId="54" totalsRowDxfId="53">
      <calculatedColumnFormula>IF(HostSummary[[#This Row],[Host Name]]="","",ROUND(HostSummary[[#This Row],[%DB Time of Elapsed Time (aka Avg Active Sessions or "AAS")]]+0.5,0)*(vCPUHTFactor/AVERAGEIFS(AWRData[Source CPU HT Factor],AWRData[Host Name],HostSummary[[#This Row],[Host Name]])))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B0BE37-05C6-4A02-98D0-4AD1239441E5}" name="DBSummary" displayName="DBSummary" ref="A21:L23" totalsRowCount="1">
  <autoFilter ref="A21:L22" xr:uid="{D3B0BE37-05C6-4A02-98D0-4AD1239441E5}"/>
  <tableColumns count="12">
    <tableColumn id="11" xr3:uid="{CACD3033-22EB-4205-9E47-C2FA2355E2B2}" name="Azure Server Name" totalsRowLabel="Total" dataDxfId="52"/>
    <tableColumn id="1" xr3:uid="{7A983043-6808-45EA-A336-220B8E5A3D1D}" name="DB Name"/>
    <tableColumn id="2" xr3:uid="{92E07AAF-4C20-4F07-8D51-3AB60A9F50B0}" name="%DB Time of Elapsed Time _x000a_(aka Avg Active Sessions or &quot;AAS&quot;)" totalsRowFunction="sum" dataDxfId="51" totalsRowDxfId="50">
      <calculatedColumnFormula>IF(DBSummary[[#This Row],[DB Name]]="","",SUMIFS(AWRData[DB Time (mins)],AWRData[DB Name],DBSummary[[#This Row],[DB Name]])/SUMIFS(AWRData[Elapsed Time (mins)],AWRData[DB Name],DBSummary[[#This Row],[DB Name]]))</calculatedColumnFormula>
    </tableColumn>
    <tableColumn id="3" xr3:uid="{95172B3D-1090-4153-8E59-74B301D1490D}" name="Observed memory _x000a_use (GB)" totalsRowFunction="sum" dataDxfId="49" totalsRowDxfId="48">
      <calculatedColumnFormula>IF(DBSummary[[#This Row],[DB Name]]="","",SUMIFS(AWRData[Observed Memory Use (GB)],AWRData[DB Name],DBSummary[[#This Row],[DB Name]]))</calculatedColumnFormula>
    </tableColumn>
    <tableColumn id="4" xr3:uid="{36214BD1-A664-41F7-96D2-0550E8718EC7}" name="Estimated RAM _x000a_On Azure" totalsRowFunction="sum" dataDxfId="47" totalsRowDxfId="46">
      <calculatedColumnFormula>IF(DBSummary[[#This Row],[DB Name]]="","",DBSummary[[#This Row],[Observed memory 
use (GB)]]*peakRamFactor)</calculatedColumnFormula>
    </tableColumn>
    <tableColumn id="5" xr3:uid="{502B5A16-6862-47EA-9430-E45F1A7FE154}" name="Observed _x000a_IOPS" totalsRowFunction="sum" dataDxfId="45" totalsRowDxfId="44">
      <calculatedColumnFormula>IF(DBSummary[[#This Row],[DB Name]]="","",SUMIFS(AWRData[Total IOPS],AWRData[DB Name],DBSummary[[#This Row],[DB Name]]))</calculatedColumnFormula>
    </tableColumn>
    <tableColumn id="6" xr3:uid="{90D2EE84-2A9A-4511-B8FF-6A454B7B0CCC}" name="Observed _x000a_Throughput _x000a_(MB/s)" totalsRowFunction="sum" dataDxfId="43" totalsRowDxfId="42">
      <calculatedColumnFormula>IF(DBSummary[[#This Row],[DB Name]]="","",SUMIFS(AWRData[Total Throughput (MB/s)],AWRData[DB Name],DBSummary[[#This Row],[DB Name]]))</calculatedColumnFormula>
    </tableColumn>
    <tableColumn id="7" xr3:uid="{A72036BA-21B9-44AC-AE3F-BFFBF59356F2}" name="Estimated IOPS _x000a_On Azure _x000a_for peak load" totalsRowFunction="sum" dataDxfId="41" totalsRowDxfId="40">
      <calculatedColumnFormula>IF(DBSummary[[#This Row],[DB Name]]="","",DBSummary[[#This Row],[Observed 
IOPS]]*peakIOFactor)</calculatedColumnFormula>
    </tableColumn>
    <tableColumn id="8" xr3:uid="{EAFA3705-FA43-4444-ACD3-26B3AE58AECB}" name="Estimated Throughput (MB/s) _x000a_On Azure for peak load" totalsRowFunction="sum" dataDxfId="39" totalsRowDxfId="38">
      <calculatedColumnFormula>IF(DBSummary[[#This Row],[DB Name]]="","",DBSummary[[#This Row],[Observed 
Throughput 
(MB/s)]]*peakIOFactor)</calculatedColumnFormula>
    </tableColumn>
    <tableColumn id="9" xr3:uid="{48EF9B5A-D482-4DEA-8339-3B3077EF29B9}" name="Observed _x000a_Azure vCPUs" totalsRowFunction="sum" dataDxfId="37" totalsRowDxfId="36">
      <calculatedColumnFormula>IF(DBSummary[[#This Row],[DB Name]]="","",ROUND(SUMIFS(InstSummary[Observed vCPUs],InstSummary[DB Name],DBSummary[[#This Row],[DB Name]])+0.5,0))</calculatedColumnFormula>
    </tableColumn>
    <tableColumn id="10" xr3:uid="{86DFB9D4-448E-4048-8AA0-24D17218788C}" name="Estimated vCPUs _x000a_On Azure _x000a_for peak load" totalsRowFunction="sum" dataDxfId="35" totalsRowDxfId="34">
      <calculatedColumnFormula>IF(DBSummary[[#This Row],[DB Name]]="","",IF(SUMIFS(AWRData[% Busy CPU],AWRData[DB Name],DBSummary[[#This Row],[DB Name]])&lt;busyCPUThreshold,peakCPUFactor*DBSummary[[#This Row],[Observed 
Azure vCPUs]],(busyCPUFactor*peakCPUFactor)*DBSummary[[#This Row],[Observed 
Azure vCPUs]]))</calculatedColumnFormula>
    </tableColumn>
    <tableColumn id="12" xr3:uid="{20CF7C43-4344-4284-BA53-3A82743B2EA3}" name="Estimated_x000a_Storage Size_x000a_(GiB)" totalsRowFunction="sum" dataDxfId="33" totalsRowDxfId="3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4055F50-FE07-4750-ABA9-86938491743C}" name="Recommendations" displayName="Recommendations" ref="A14:W15" insertRow="1" totalsRowShown="0">
  <autoFilter ref="A14:W15" xr:uid="{24055F50-FE07-4750-ABA9-86938491743C}"/>
  <tableColumns count="23">
    <tableColumn id="6" xr3:uid="{A8A0A25E-EEC2-4F86-91F1-A78596A56247}" name="Azure Server Name"/>
    <tableColumn id="1" xr3:uid="{DB3B0AEF-9E99-40B4-B1EB-DBCE2356ABB1}" name="name"/>
    <tableColumn id="2" xr3:uid="{B954BD9C-735F-4677-B187-8F6CFA85E0AF}" name="size"/>
    <tableColumn id="3" xr3:uid="{DEED157C-54E3-459C-83F0-1690B048FFA9}" name="tier"/>
    <tableColumn id="4" xr3:uid="{038C9217-913A-4F22-B802-919132901DC7}" name="family"/>
    <tableColumn id="7" xr3:uid="{FC6ED0C4-3DC5-4276-BAED-D8E6EE160621}" name="monthlyCost" dataDxfId="31"/>
    <tableColumn id="8" xr3:uid="{F9D34E64-97D3-4F62-8ABD-A6EC4D4577CE}" name="OSVhdSizeMB"/>
    <tableColumn id="9" xr3:uid="{722D958B-1F16-4C14-9BCE-FD461C58B6A1}" name="vCPUs"/>
    <tableColumn id="10" xr3:uid="{31F750BC-B49E-4FAD-AD27-408D970CB282}" name="HyperVGenerations"/>
    <tableColumn id="11" xr3:uid="{BBEF3C53-1C50-4ABA-9E7B-3CFDE468CF9A}" name="MemoryGB"/>
    <tableColumn id="12" xr3:uid="{6A529B04-4C81-4E99-BAA4-581D1FC7C30C}" name="MaxDataDiskCount"/>
    <tableColumn id="16" xr3:uid="{DA6E64CF-2F6A-445E-92B6-55C51D003C3F}" name="PremiumIO"/>
    <tableColumn id="18" xr3:uid="{8ECE39D6-7868-48E0-B75C-8EB51A13F624}" name="vCPUsAvailable"/>
    <tableColumn id="19" xr3:uid="{411A8393-F269-45DC-B9B5-03A6828712C0}" name="vCPUsPerCore"/>
    <tableColumn id="23" xr3:uid="{39EA5413-020D-4F9D-BBE0-366E987CA718}" name="CachedDiskBytes"/>
    <tableColumn id="24" xr3:uid="{778F6D48-2CFA-46AE-A286-C2E5F5314562}" name="UncachedDiskIOPS" dataDxfId="30" dataCellStyle="Comma"/>
    <tableColumn id="25" xr3:uid="{E19556E7-D760-473B-BAA8-CD41C8C13C9D}" name="UncachedDiskMBytesPerSecond" dataDxfId="29"/>
    <tableColumn id="26" xr3:uid="{6442C444-DB6E-4B41-B80E-D391BB4A70DE}" name="EphemeralOSDiskSupported"/>
    <tableColumn id="27" xr3:uid="{3CCEF750-2F9C-4B6A-BFCF-C56E804AC0D6}" name="EncryptionAtHostSupported"/>
    <tableColumn id="28" xr3:uid="{EC428ADB-CA3A-484F-8A50-8003436842BB}" name="CapacityReservationSupported"/>
    <tableColumn id="30" xr3:uid="{3F192D2F-C00D-4B40-88B9-1C59962623AA}" name="AcceleratedNetworkingEnabled"/>
    <tableColumn id="32" xr3:uid="{7539DBD6-7CD0-4CD3-8A09-689F31EA7254}" name="MaxNetworkInterfaces"/>
    <tableColumn id="5" xr3:uid="{37BED883-C0B9-4801-8011-5D91476E4B8F}" name="UltraSSDAvailabl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5F2AA3D-F7D1-418A-BC1A-70C32F5F8DC0}" name="AzureServerSummary" displayName="AzureServerSummary" ref="A7:L9" totalsRowCount="1">
  <autoFilter ref="A7:L8" xr:uid="{C5F2AA3D-F7D1-418A-BC1A-70C32F5F8DC0}"/>
  <tableColumns count="12">
    <tableColumn id="11" xr3:uid="{9B4C1E07-CDAC-4201-A208-33FCD0A4DADD}" name="Azure Server Name" totalsRowLabel="Total" dataDxfId="28"/>
    <tableColumn id="12" xr3:uid="{4AE24669-3CB1-49A1-8393-B3A789B0C3D7}" name="Databases" dataDxfId="3"/>
    <tableColumn id="2" xr3:uid="{A5C93801-DDDD-431B-A77D-F2BFC8CDEA25}" name="%DB Time of Elapsed Time _x000a_(aka Avg Active Sessions or &quot;AAS&quot;)" totalsRowFunction="sum" dataDxfId="1" totalsRowDxfId="27">
      <calculatedColumnFormula>IF(AzureServerSummary[[#This Row],[Azure Server Name]]="","",SUMIFS(DBSummary[%DB Time of Elapsed Time 
(aka Avg Active Sessions or "AAS")],DBSummary[Azure Server Name],AzureServerSummary[[#This Row],[Azure Server Name]]))</calculatedColumnFormula>
    </tableColumn>
    <tableColumn id="3" xr3:uid="{5ED66D49-9657-4A68-9947-AA78E41F2CE9}" name="Observed memory _x000a_use (GB)" totalsRowFunction="sum" dataDxfId="2" totalsRowDxfId="26">
      <calculatedColumnFormula>IF(AzureServerSummary[[#This Row],[Azure Server Name]]="","",SUMIFS(DBSummary[Observed memory 
use (GB)],DBSummary[Azure Server Name],AzureServerSummary[[#This Row],[Azure Server Name]]))</calculatedColumnFormula>
    </tableColumn>
    <tableColumn id="4" xr3:uid="{F2D3D04F-765A-4EED-A35C-8AC51A69668B}" name="Estimated RAM _x000a_On Azure" totalsRowFunction="sum" dataDxfId="25" totalsRowDxfId="24">
      <calculatedColumnFormula>IF(AzureServerSummary[[#This Row],[Azure Server Name]]="","",SUMIFS(DBSummary[Estimated RAM 
On Azure],DBSummary[Azure Server Name],AzureServerSummary[[#This Row],[Azure Server Name]]))</calculatedColumnFormula>
    </tableColumn>
    <tableColumn id="5" xr3:uid="{44D9129C-D7B5-4947-B0E8-A6A05981EC5A}" name="Observed _x000a_IOPS" totalsRowFunction="sum" dataDxfId="23" totalsRowDxfId="22">
      <calculatedColumnFormula>IF(AzureServerSummary[[#This Row],[Azure Server Name]]="","",SUMIFS(DBSummary[Observed 
IOPS],DBSummary[Azure Server Name],AzureServerSummary[[#This Row],[Azure Server Name]]))</calculatedColumnFormula>
    </tableColumn>
    <tableColumn id="6" xr3:uid="{A43AA4C4-2A92-4C07-A931-B4D65E8EB582}" name="Observed _x000a_Throughput _x000a_(MB/s)" totalsRowFunction="sum" dataDxfId="21" totalsRowDxfId="20">
      <calculatedColumnFormula>IF(AzureServerSummary[[#This Row],[Azure Server Name]]="","",SUMIFS(DBSummary[Observed 
Throughput 
(MB/s)],DBSummary[Azure Server Name],AzureServerSummary[[#This Row],[Azure Server Name]]))</calculatedColumnFormula>
    </tableColumn>
    <tableColumn id="7" xr3:uid="{273B1093-A036-4EF1-AB8D-1B61B6EA8925}" name="Estimated IOPS _x000a_On Azure _x000a_for peak load" totalsRowFunction="sum" dataDxfId="19" totalsRowDxfId="18">
      <calculatedColumnFormula>IF(AzureServerSummary[[#This Row],[Azure Server Name]]="","",SUMIFS(DBSummary[Estimated IOPS 
On Azure 
for peak load],DBSummary[Azure Server Name],AzureServerSummary[[#This Row],[Azure Server Name]]))</calculatedColumnFormula>
    </tableColumn>
    <tableColumn id="8" xr3:uid="{FF0E10AD-390C-4B5B-BDFB-BA3DF9DC8D4C}" name="Estimated Throughput (MB/s) _x000a_On Azure for peak load" totalsRowFunction="sum" dataDxfId="17" totalsRowDxfId="16">
      <calculatedColumnFormula>IF(AzureServerSummary[[#This Row],[Azure Server Name]]="","",SUMIFS(DBSummary[Estimated Throughput (MB/s) 
On Azure for peak load],DBSummary[Azure Server Name],AzureServerSummary[[#This Row],[Azure Server Name]]))</calculatedColumnFormula>
    </tableColumn>
    <tableColumn id="9" xr3:uid="{AFC614C5-EE7A-4C19-84B5-0D75F31F7247}" name="Observed _x000a_Azure vCPUs" totalsRowFunction="sum" dataDxfId="15" totalsRowDxfId="14">
      <calculatedColumnFormula>IF(AzureServerSummary[[#This Row],[Azure Server Name]]="","",SUMIFS(DBSummary[Observed 
Azure vCPUs],DBSummary[Azure Server Name],AzureServerSummary[[#This Row],[Azure Server Name]]))</calculatedColumnFormula>
    </tableColumn>
    <tableColumn id="10" xr3:uid="{FFBE70A3-6299-41A8-8054-5FB653B6C986}" name="Estimated vCPUs _x000a_On Azure _x000a_for peak load" totalsRowFunction="sum" dataDxfId="13" totalsRowDxfId="12">
      <calculatedColumnFormula>IF(AzureServerSummary[[#This Row],[Azure Server Name]]="","",SUMIFS(DBSummary[Estimated vCPUs 
On Azure 
for peak load],DBSummary[Azure Server Name],AzureServerSummary[[#This Row],[Azure Server Name]]))</calculatedColumnFormula>
    </tableColumn>
    <tableColumn id="1" xr3:uid="{89342E0E-0C57-4C5B-89C9-972723CCC104}" name="Estimated_x000a_Storage Size_x000a_(GiB)" totalsRowFunction="sum" dataDxfId="11" totalsRowDxfId="10">
      <calculatedColumnFormula>IF(AzureServerSummary[[#This Row],[Azure Server Name]]="","",SUMIFS(DBSummary[Estimated
Storage Size
(GiB)],DBSummary[Azure Server Name],AzureServerSummary[[#This Row],[Azure Server Name]]))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B68401-3585-4E5E-A63D-6673F6C9573B}" name="StorageRecommendations" displayName="StorageRecommendations" ref="A19:I20" insertRow="1" totalsRowShown="0">
  <autoFilter ref="A19:I20" xr:uid="{FAB68401-3585-4E5E-A63D-6673F6C9573B}"/>
  <tableColumns count="9">
    <tableColumn id="6" xr3:uid="{CF6E5796-7AAD-4D28-866C-712068C9315A}" name="Azure Server Name"/>
    <tableColumn id="1" xr3:uid="{DFDA129B-74CC-4FAF-A91F-B43E883CF3BD}" name="Storage Type"/>
    <tableColumn id="2" xr3:uid="{58963987-C701-4A5D-B1A4-7FC1EAFF5638}" name="Description"/>
    <tableColumn id="3" xr3:uid="{FE5175CD-29DC-4E52-A43E-232001301F79}" name="# of Instances" dataDxfId="9" dataCellStyle="Comma"/>
    <tableColumn id="4" xr3:uid="{63F72964-A929-4DD9-A68A-17207AEF999E}" name="Disk Size (GB)/Instance" dataDxfId="8" dataCellStyle="Comma"/>
    <tableColumn id="5" xr3:uid="{E6CE5E8E-D5B9-4AF5-9077-C8BEE6A607C4}" name="Throughput (MB/s)/Instance" dataDxfId="7" dataCellStyle="Comma"/>
    <tableColumn id="7" xr3:uid="{CB82F9F4-6FC2-4133-B345-4A9AC5028B2F}" name="Disk Size (GB)" dataDxfId="6" dataCellStyle="Comma">
      <calculatedColumnFormula>StorageRecommendations[[#This Row],['# of Instances]]*StorageRecommendations[[#This Row],[Disk Size (GB)/Instance]]</calculatedColumnFormula>
    </tableColumn>
    <tableColumn id="8" xr3:uid="{7521CAC3-E725-4CC2-B1E5-DFD4959AE2A5}" name="Throughput (MB/s)" dataDxfId="5" dataCellStyle="Comma">
      <calculatedColumnFormula>StorageRecommendations[[#This Row],['# of Instances]]*StorageRecommendations[[#This Row],[Throughput (MB/s)/Instance]]</calculatedColumnFormula>
    </tableColumn>
    <tableColumn id="9" xr3:uid="{99F4A509-49E6-4CAB-8AEA-D85F15810D38}" name="Cost/Month" dataDxfId="4" dataCellStyle="Comma"/>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22CF0B-FFD0-4B36-8D49-533DE85D105E}" name="SettingsTable" displayName="SettingsTable" ref="A1:B12" totalsRowShown="0">
  <autoFilter ref="A1:B12" xr:uid="{9F22CF0B-FFD0-4B36-8D49-533DE85D105E}">
    <filterColumn colId="0" hiddenButton="1"/>
    <filterColumn colId="1" hiddenButton="1"/>
  </autoFilter>
  <tableColumns count="2">
    <tableColumn id="1" xr3:uid="{DA90A48C-6F33-4232-AD79-75276505054A}" name="Parameter Name"/>
    <tableColumn id="2" xr3:uid="{5486193B-A937-4669-BA12-D8F437F3B6BD}" name="Setting"/>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906E0A-E8EC-4B2D-986D-6AC28326CF76}" name="AzureVMSkus" displayName="AzureVMSkus" ref="A1:BE2" insertRow="1" totalsRowShown="0">
  <autoFilter ref="A1:BE2" xr:uid="{DC906E0A-E8EC-4B2D-986D-6AC28326CF76}"/>
  <tableColumns count="57">
    <tableColumn id="1" xr3:uid="{BD472B30-7AE8-431C-85AE-1852E7F45787}" name="name"/>
    <tableColumn id="2" xr3:uid="{085ABC44-6C24-4933-BAB2-0E4B868C37D9}" name="size"/>
    <tableColumn id="3" xr3:uid="{C69A5656-C591-4EBA-9D1F-E4386D0B3E2B}" name="tier"/>
    <tableColumn id="4" xr3:uid="{3C6AE4DB-3D5B-4AF9-9D72-9271EDDB4288}" name="family"/>
    <tableColumn id="5" xr3:uid="{EEF331E4-C49D-421E-8F06-7E29808A3603}" name="resourceType"/>
    <tableColumn id="6" xr3:uid="{2DA85382-1E4E-418F-B134-4055B2F4A769}" name="location"/>
    <tableColumn id="7" xr3:uid="{F5D2A4DE-5166-4637-AA13-7BD25493B8AF}" name="monthlyCost"/>
    <tableColumn id="42" xr3:uid="{51B6336F-C7FD-4835-95F5-59A369B9AB72}" name="vmRecommendationPriority"/>
    <tableColumn id="10" xr3:uid="{A39F843F-AA3D-4948-82E8-BEC83852FED2}" name="vCPUs"/>
    <tableColumn id="19" xr3:uid="{386160A4-CA90-4A43-81F6-B207CDB3BB2A}" name="vCPUsAvailable"/>
    <tableColumn id="21" xr3:uid="{BABE3DD2-33AD-4CDD-B367-F5AD28E9B24E}" name="vCPUsPerCore"/>
    <tableColumn id="8" xr3:uid="{AB955D2C-F16D-451B-A7DA-A6223AB30804}" name="Class"/>
    <tableColumn id="9" xr3:uid="{B6AB32C1-0904-4C25-9582-7ED4A77655CB}" name="Subclass"/>
    <tableColumn id="11" xr3:uid="{9CE4C7D0-B118-4CFF-9815-B25F2C70F3E8}" name="AMDProcessor"/>
    <tableColumn id="12" xr3:uid="{7201A2F8-73CC-442E-9E7A-DF5810B51C8E}" name="BlockStoragePerformance"/>
    <tableColumn id="13" xr3:uid="{47FBB498-3E0E-4BAB-85AC-510678BD4741}" name="Diskful"/>
    <tableColumn id="14" xr3:uid="{AD0BFD6B-8E96-4803-A036-8978B4910B52}" name="IsolatedSize"/>
    <tableColumn id="15" xr3:uid="{DAA1DCC3-317D-4D53-93C0-6110DE554464}" name="LowMemory"/>
    <tableColumn id="16" xr3:uid="{49306060-342B-422E-AE4B-BDAA9004E3F4}" name="MemoryIntensive"/>
    <tableColumn id="17" xr3:uid="{6DD24E30-AFFB-4CC1-B8DF-AF7D10602961}" name="ARMProcessor"/>
    <tableColumn id="18" xr3:uid="{16A691E1-0946-468A-A55E-6B26B417A072}" name="TinyMemory"/>
    <tableColumn id="20" xr3:uid="{1CBE7A84-BC10-47C7-8276-632689E73727}" name="PremiumStorage"/>
    <tableColumn id="22" xr3:uid="{49C2DA23-CE70-42D7-8244-DFCCC75BC385}" name="AcceleratorType"/>
    <tableColumn id="23" xr3:uid="{3288DAD9-7840-496A-986A-D253DAB1D2F7}" name="Version"/>
    <tableColumn id="24" xr3:uid="{938CC661-F559-4251-9EF4-05AD5EAB0066}" name="Promo"/>
    <tableColumn id="25" xr3:uid="{CDA03345-8F3E-45EF-93C9-1D6E567E3179}" name="MaxResourceVolumeMB"/>
    <tableColumn id="26" xr3:uid="{5E4D9BD3-1283-480D-9909-B9964B0343A0}" name="OSVhdSizeMB"/>
    <tableColumn id="27" xr3:uid="{2C6AA31D-7A33-40C6-BA46-1D4C5F106E2F}" name="MemoryPreservingMaintenanceSupported"/>
    <tableColumn id="28" xr3:uid="{4403D9BF-2860-419A-ADE7-0D0F58297FFB}" name="HyperVGenerations"/>
    <tableColumn id="29" xr3:uid="{C1FA8008-86E5-4A3A-ADBB-B1463D179A00}" name="MemoryGB"/>
    <tableColumn id="30" xr3:uid="{548BC620-3EC5-4CDB-A92A-37DFBD026966}" name="MaxDataDiskCount"/>
    <tableColumn id="31" xr3:uid="{CBF21462-1734-4DBB-AAF6-E6A64C24A43D}" name="CpuArchitectureType"/>
    <tableColumn id="32" xr3:uid="{3B7A4C70-9A07-4549-A0E2-8AD2F3BEBA28}" name="LowPriorityCapable"/>
    <tableColumn id="33" xr3:uid="{BD10EFB5-16E9-42E3-8581-53FC87A919BB}" name="PremiumIO"/>
    <tableColumn id="34" xr3:uid="{2D06314E-A98C-4910-9824-43C0D62F9ED2}" name="VMDeploymentTypes"/>
    <tableColumn id="35" xr3:uid="{FE9C3A96-CD63-4922-B0FA-9351925BAE61}" name="ACUs"/>
    <tableColumn id="36" xr3:uid="{775683CB-B5B6-4BB7-AA5C-47B3A2A0F9D5}" name="EphemeralOSDiskSupported"/>
    <tableColumn id="37" xr3:uid="{0B292A89-C873-426F-A2D4-146AA10C1A56}" name="EncryptionAtHostSupported"/>
    <tableColumn id="38" xr3:uid="{D2DB11D5-DA02-46C1-A1DB-95587D62F0A6}" name="CapacityReservationSupported"/>
    <tableColumn id="39" xr3:uid="{7737EB8A-81FB-437D-B001-078F1E8F85CD}" name="AcceleratedNetworkingEnabled"/>
    <tableColumn id="40" xr3:uid="{F8BF0FD2-5B28-4E84-8A92-CEC918976486}" name="RdmaEnabled"/>
    <tableColumn id="41" xr3:uid="{75910F58-B39B-44FA-9459-043A9503761D}" name="MaxNetworkInterfaces"/>
    <tableColumn id="43" xr3:uid="{06834C80-F8E8-4DCD-B3F2-0F2B38C999F9}" name="CombinedTempDiskAndCachedIOPS"/>
    <tableColumn id="44" xr3:uid="{4D307CA5-D675-44F7-9E07-60FBFA6291F7}" name="CombinedTempDiskAndCachedReadBytesPerSecond"/>
    <tableColumn id="45" xr3:uid="{8A52BFCC-BD7D-4353-B7DA-21DB39A9135A}" name="CombinedTempDiskAndCachedWriteBytesPerSecond"/>
    <tableColumn id="46" xr3:uid="{40680686-CFA8-4A85-B40D-C67B02D3B4DA}" name="UncachedDiskIOPS"/>
    <tableColumn id="47" xr3:uid="{7EA63871-BC18-4DFE-A209-45CCA697D1B8}" name="UncachedDiskBytesPerSecond"/>
    <tableColumn id="48" xr3:uid="{E93617B1-7B47-405A-AE46-59E710D8D7DD}" name="CachedDiskBytes"/>
    <tableColumn id="49" xr3:uid="{5F1FC5E2-2CC7-4469-9C64-92846F1DE8C8}" name="UltraSSDAvailable"/>
    <tableColumn id="50" xr3:uid="{CAE425CB-4DD7-4774-884B-620C537194A6}" name="HibernationSupported"/>
    <tableColumn id="51" xr3:uid="{2CD684E9-91FD-4258-BDA9-000237631D48}" name="TrustedLaunchDisabled"/>
    <tableColumn id="52" xr3:uid="{EB499F5B-A7BD-4F8C-B1A8-3B880157C81E}" name="ConfidentialComputingType"/>
    <tableColumn id="53" xr3:uid="{81E7AA78-A8EF-4FCB-8DEE-A27A0D3C708F}" name="ParentSize"/>
    <tableColumn id="54" xr3:uid="{96880A1A-2DC2-46A5-831B-FFA530AC9973}" name="DiskControllerTypes"/>
    <tableColumn id="55" xr3:uid="{C7F67132-E6A7-4339-B0E0-D3DD4C7BC4DF}" name="NvmeDiskSizeInMiB"/>
    <tableColumn id="56" xr3:uid="{3F67F314-8319-4B82-AFCD-539FA19725E2}" name="MaxWriteAcceleratorDisksAllowed"/>
    <tableColumn id="57" xr3:uid="{92B9F600-A19E-4820-8061-53BE15E16569}" name="GPUs"/>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A4EAD43-B517-46A3-A36F-1EE99C7C17F2}" name="AzureDiskSkus" displayName="AzureDiskSkus" ref="A1:AL2" insertRow="1" totalsRowShown="0">
  <autoFilter ref="A1:AL2" xr:uid="{FA4EAD43-B517-46A3-A36F-1EE99C7C17F2}"/>
  <tableColumns count="38">
    <tableColumn id="1" xr3:uid="{F62EAFFC-CCB6-4629-AA21-C1B35C73FE76}" name="name"/>
    <tableColumn id="2" xr3:uid="{9A180053-0933-4CD4-AEE7-0FBD6BBCDD25}" name="size"/>
    <tableColumn id="3" xr3:uid="{E527B622-E8B2-46E3-A902-08A82EF9943F}" name="tier"/>
    <tableColumn id="4" xr3:uid="{BF902C8F-1A74-4DEE-AA8E-22C86AB5AFF9}" name="family"/>
    <tableColumn id="5" xr3:uid="{EF4D2744-6A2E-49C7-81FC-14918F395259}" name="resourceType"/>
    <tableColumn id="6" xr3:uid="{A9CA5F6F-EAB1-45D3-9D1A-9C2127995C1D}" name="location"/>
    <tableColumn id="7" xr3:uid="{0B269F35-FC41-412D-A55F-B9FA2511CD40}" name="monthlyCost"/>
    <tableColumn id="38" xr3:uid="{4E486670-3EA2-4ECE-A16F-F510EA5375E5}" name="diskRecommendationPriority"/>
    <tableColumn id="8" xr3:uid="{CF480A63-6C4A-489B-972E-DC7479C16A8D}" name="MaxSizeGiB"/>
    <tableColumn id="9" xr3:uid="{C56CE51D-3326-4D46-BABA-9C9092A08181}" name="MinSizeGiB"/>
    <tableColumn id="10" xr3:uid="{1908899B-B705-4D7E-916C-9890F4E3AFE1}" name="MaxIOpsReadWrite"/>
    <tableColumn id="11" xr3:uid="{A9F1143E-F2FC-43F8-AA71-403CC3657A65}" name="MinIOpsReadWrite"/>
    <tableColumn id="12" xr3:uid="{40C19A40-6E9E-417C-8F38-70943FF8A87A}" name="MaxBandwidthMBpsReadWrite"/>
    <tableColumn id="13" xr3:uid="{09D99839-CC48-446F-9A11-F96C52FEBECC}" name="MinBandwidthMBpsReadWrite"/>
    <tableColumn id="14" xr3:uid="{FD7FEBB9-E77A-464D-A632-D2D37ECEBF46}" name="MaxValueOfMaxShares"/>
    <tableColumn id="15" xr3:uid="{9F1ECB96-DDD6-4AB3-B0F6-60DB32AB6273}" name="MinIOSizeKiBps"/>
    <tableColumn id="16" xr3:uid="{1C7BC73E-B7FF-442F-9114-72536D66B62F}" name="MaxIOSizeKiBps"/>
    <tableColumn id="17" xr3:uid="{09D37660-61AE-468D-A733-3567A48F6EB0}" name="MinIopsReadOnly"/>
    <tableColumn id="18" xr3:uid="{DD9513AA-9DB9-4DF0-9EED-62CC1E8DACDD}" name="MaxIopsReadOnly"/>
    <tableColumn id="19" xr3:uid="{B98484FE-F925-4508-A9EC-5578DE35CD01}" name="MinBandwidthMBpsReadOnly"/>
    <tableColumn id="20" xr3:uid="{1521B02E-1684-41B1-9D30-BA5BA0FFAE17}" name="MaxBandwidthMBpsReadOnly"/>
    <tableColumn id="21" xr3:uid="{D19DA06A-673B-4EF4-8678-EFFEAEA8CACC}" name="MaxIopsPerGiBReadWrite"/>
    <tableColumn id="22" xr3:uid="{18996058-E7AD-4087-94DE-06B6C6B328B2}" name="MaxIopsPerGiBReadOnly"/>
    <tableColumn id="23" xr3:uid="{C1A43DB5-B3F5-4264-A0C0-F72E3F0333B2}" name="MinIopsPerGiBReadWrite"/>
    <tableColumn id="24" xr3:uid="{EB9161AC-B4DE-48F0-89F2-48961BB16168}" name="MinIopsPerGiBReadOnly"/>
    <tableColumn id="25" xr3:uid="{509F4ED6-7F48-4C27-9E4C-784D30A87E96}" name="BillingPartitionSizes"/>
    <tableColumn id="26" xr3:uid="{205D3BC3-557E-4B1E-8F3E-FB4C83947250}" name="MaxIOps"/>
    <tableColumn id="27" xr3:uid="{06D4E4F9-FA3A-45AF-90B9-9BEDDBA5726A}" name="MinIOps"/>
    <tableColumn id="28" xr3:uid="{90F3EAD8-DA78-4969-9A33-9B03BD9AE8AF}" name="MaxBandwidthMBps"/>
    <tableColumn id="29" xr3:uid="{31E28F1E-DECB-4E89-9330-E085780147E1}" name="MinBandwidthMBps"/>
    <tableColumn id="30" xr3:uid="{0B3DCFEB-0ECF-4549-B1C5-F2C0F10DD6A0}" name="MaxBurstIops"/>
    <tableColumn id="31" xr3:uid="{A28DA902-2333-41FE-A3BA-9811FD8F1A22}" name="MaxBurstBandwidthMBps"/>
    <tableColumn id="32" xr3:uid="{430983EA-88EA-4096-AF7C-35DCD27B72E0}" name="MaxBurstDurationInMin"/>
    <tableColumn id="33" xr3:uid="{D171405A-6962-481C-8D15-43C0A6C59134}" name="BurstCreditBucketSizeInIO"/>
    <tableColumn id="34" xr3:uid="{7F0A7BBD-51A0-4CE0-A273-E49BB91E9568}" name="BurstCreditBucketSizeInGiB"/>
    <tableColumn id="35" xr3:uid="{0D91A530-0057-40AD-9212-3B1D8105B776}" name="MaxZonalFaultDomainCount"/>
    <tableColumn id="36" xr3:uid="{3D9C807C-A816-42CE-AD36-C2CC60CC272E}" name="MaxBandwidthMBpsPerformancePlus"/>
    <tableColumn id="37" xr3:uid="{BD71993D-1C65-48FA-A1D6-B88269A34846}" name="MaxIOpsPerformancePlus"/>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4DD5A96-81FA-4B2F-A5CA-D9545EE1CCF5}" name="AzurePriceList" displayName="AzurePriceList" ref="A1:U2" insertRow="1" totalsRowShown="0">
  <autoFilter ref="A1:U2" xr:uid="{04DD5A96-81FA-4B2F-A5CA-D9545EE1CCF5}"/>
  <tableColumns count="21">
    <tableColumn id="1" xr3:uid="{6F4C668B-77CF-4D92-BE8E-8532D370B353}" name="serviceFamily"/>
    <tableColumn id="2" xr3:uid="{BF746447-61E3-4B70-BFD7-B577241067D8}" name="serviceName"/>
    <tableColumn id="3" xr3:uid="{F04E2B3F-5EC4-4EFB-A4AF-93D4EBA73D31}" name="type"/>
    <tableColumn id="4" xr3:uid="{C1DC40E0-D9C5-4F0F-8A6F-B860155919C6}" name="productName"/>
    <tableColumn id="5" xr3:uid="{707A3BFD-BA05-40A3-B78F-558497F71B61}" name="armSkuName"/>
    <tableColumn id="6" xr3:uid="{FD3BE823-C193-46C8-9A35-B7F6AB6592D8}" name="skuName"/>
    <tableColumn id="7" xr3:uid="{78C93E2D-A87A-4C55-B359-0C960376F88C}" name="meterName"/>
    <tableColumn id="8" xr3:uid="{F292569C-5862-473B-9397-AF9D6D7CA0E9}" name="unitPrice"/>
    <tableColumn id="9" xr3:uid="{33329AAD-80A2-4B39-B1C4-11CF4F12627A}" name="unitOfMeasure"/>
    <tableColumn id="10" xr3:uid="{52DC7658-D469-4FDE-AFAC-81E9016A0A53}" name="armRegionName"/>
    <tableColumn id="11" xr3:uid="{5BA61FD9-7494-4FB8-81ED-765F431200C8}" name="location"/>
    <tableColumn id="12" xr3:uid="{1E762680-C0DA-4679-BA22-8FEDD3B0E8AF}" name="currencyCode"/>
    <tableColumn id="13" xr3:uid="{1F375608-5499-4724-B32C-23422F776047}" name="tierMinimumUnits"/>
    <tableColumn id="14" xr3:uid="{E2C44BBC-A790-46EA-92AC-4C1C878DF128}" name="retailPrice"/>
    <tableColumn id="15" xr3:uid="{DDECA408-0148-4D87-A6C0-72E8A6355D4F}" name="effectiveStartDate"/>
    <tableColumn id="16" xr3:uid="{3DB03B40-12A1-4CC2-8C3B-D87D42966F93}" name="meterId"/>
    <tableColumn id="17" xr3:uid="{BE5E2762-E8CC-4EB3-AC7D-DB71FA4E0CF3}" name="productId"/>
    <tableColumn id="18" xr3:uid="{3199A501-FEEC-47B5-BFE8-C4BC51C75F23}" name="skuId"/>
    <tableColumn id="19" xr3:uid="{A8D4C899-86EF-47D9-AFB6-A0F2B30F2D37}" name="availabilityId"/>
    <tableColumn id="20" xr3:uid="{93C391B3-F428-41A2-9EFD-F47271A5ABA2}" name="serviceId"/>
    <tableColumn id="21" xr3:uid="{0AEFC165-681F-4A11-880C-489F96576EED}" name="isPrimaryMeterReg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577F6-10B9-40E2-B551-459B23BB4A14}">
  <sheetPr codeName="Sheet2"/>
  <dimension ref="A1:Z23"/>
  <sheetViews>
    <sheetView tabSelected="1" zoomScaleNormal="100" workbookViewId="0">
      <selection activeCell="A2" sqref="A2"/>
    </sheetView>
  </sheetViews>
  <sheetFormatPr defaultRowHeight="15" x14ac:dyDescent="0.25"/>
  <cols>
    <col min="1" max="2" width="20.7109375" customWidth="1"/>
    <col min="3" max="3" width="12.7109375" customWidth="1"/>
    <col min="4" max="5" width="20.7109375" customWidth="1"/>
    <col min="6" max="24" width="12.7109375" customWidth="1"/>
    <col min="25" max="25" width="11.28515625" hidden="1" customWidth="1"/>
    <col min="26" max="26" width="0" hidden="1" customWidth="1"/>
  </cols>
  <sheetData>
    <row r="1" spans="1:26" ht="36.75" customHeight="1" x14ac:dyDescent="0.25">
      <c r="A1" s="9" t="s">
        <v>83</v>
      </c>
      <c r="B1" s="19" t="s">
        <v>159</v>
      </c>
      <c r="C1" s="19"/>
      <c r="D1" s="19"/>
      <c r="E1" s="19"/>
      <c r="F1" s="19"/>
      <c r="G1" s="19"/>
      <c r="H1" s="19"/>
      <c r="I1" s="19"/>
      <c r="J1" s="19"/>
      <c r="K1" s="19"/>
      <c r="L1" s="19"/>
    </row>
    <row r="2" spans="1:26" ht="18.75" x14ac:dyDescent="0.3">
      <c r="A2" s="1" t="s">
        <v>8</v>
      </c>
    </row>
    <row r="3" spans="1:26" x14ac:dyDescent="0.25">
      <c r="A3" t="s">
        <v>10</v>
      </c>
      <c r="B3" t="s">
        <v>11</v>
      </c>
      <c r="C3" t="s">
        <v>12</v>
      </c>
      <c r="D3" t="s">
        <v>13</v>
      </c>
      <c r="E3" t="s">
        <v>14</v>
      </c>
      <c r="F3" t="s">
        <v>15</v>
      </c>
      <c r="G3" t="s">
        <v>16</v>
      </c>
      <c r="H3" t="s">
        <v>17</v>
      </c>
      <c r="I3" t="s">
        <v>18</v>
      </c>
      <c r="J3" t="s">
        <v>19</v>
      </c>
      <c r="K3" t="s">
        <v>20</v>
      </c>
      <c r="L3" t="s">
        <v>21</v>
      </c>
      <c r="M3" t="s">
        <v>22</v>
      </c>
      <c r="N3" t="s">
        <v>23</v>
      </c>
      <c r="O3" t="s">
        <v>24</v>
      </c>
      <c r="P3" t="s">
        <v>25</v>
      </c>
      <c r="Q3" t="s">
        <v>26</v>
      </c>
      <c r="R3" t="s">
        <v>27</v>
      </c>
      <c r="S3" t="s">
        <v>28</v>
      </c>
      <c r="T3" t="s">
        <v>29</v>
      </c>
      <c r="U3" t="s">
        <v>30</v>
      </c>
      <c r="V3" t="s">
        <v>31</v>
      </c>
      <c r="W3" t="s">
        <v>32</v>
      </c>
      <c r="X3" t="s">
        <v>33</v>
      </c>
      <c r="Y3" t="s">
        <v>34</v>
      </c>
      <c r="Z3" t="s">
        <v>173</v>
      </c>
    </row>
    <row r="4" spans="1:26" x14ac:dyDescent="0.25">
      <c r="F4" s="2"/>
      <c r="G4" s="2"/>
      <c r="H4" s="2"/>
      <c r="I4" s="2"/>
      <c r="J4" s="2"/>
      <c r="K4" s="2"/>
      <c r="L4" s="3"/>
      <c r="M4" s="2"/>
      <c r="N4" s="2"/>
      <c r="O4" s="2"/>
      <c r="P4" s="2"/>
      <c r="Q4" s="2"/>
      <c r="R4" s="2"/>
      <c r="S4" s="2">
        <f>AWRData[[#This Row],[Read Throughput (MB/s)]]+AWRData[[#This Row],[Write Throughput (MB/s)]]</f>
        <v>0</v>
      </c>
      <c r="T4" s="2">
        <f>AWRData[[#This Row],[Read IOPS]]+AWRData[[#This Row],[Write IOPS]]</f>
        <v>0</v>
      </c>
      <c r="U4" s="2">
        <f>(AWRData[[#This Row],[Elapsed Time (mins)]]*60)+AWRData[[#This Row],[CPUs]]</f>
        <v>0</v>
      </c>
      <c r="V4" s="2">
        <f>(AWRData[[#This Row],[SGA Use (MB)]]+AWRData[[#This Row],[PGA Use (MB)]])/1024</f>
        <v>0</v>
      </c>
      <c r="W4" s="2" t="e">
        <f>AWRData[[#This Row],[CPUs]]/AWRData[[#This Row],[Cores]]</f>
        <v>#DIV/0!</v>
      </c>
      <c r="X4" s="4" t="e">
        <f>AWRData[[#This Row],[DB Time (mins)]]/AWRData[[#This Row],[Elapsed Time (mins)]]</f>
        <v>#DIV/0!</v>
      </c>
      <c r="Z4" s="2"/>
    </row>
    <row r="5" spans="1:26" x14ac:dyDescent="0.25">
      <c r="A5" t="s">
        <v>9</v>
      </c>
      <c r="F5" s="2">
        <f>SUBTOTAL(109,AWRData[Elapsed Time (mins)])</f>
        <v>0</v>
      </c>
      <c r="G5" s="2">
        <f>SUBTOTAL(109,AWRData[DB Time (mins)])</f>
        <v>0</v>
      </c>
      <c r="H5" s="2">
        <f>SUBTOTAL(109,AWRData[DB CPU])</f>
        <v>0</v>
      </c>
      <c r="I5" s="2">
        <f>SUBTOTAL(109,AWRData[CPUs])</f>
        <v>0</v>
      </c>
      <c r="J5" s="2">
        <f>SUBTOTAL(109,AWRData[Cores])</f>
        <v>0</v>
      </c>
      <c r="K5" s="2">
        <f>SUBTOTAL(109,AWRData[Memory (GB)])</f>
        <v>0</v>
      </c>
      <c r="L5" s="3">
        <f>SUBTOTAL(109,AWRData[% Busy CPU])</f>
        <v>0</v>
      </c>
      <c r="M5" s="2">
        <f>SUBTOTAL(109,AWRData[SGA Use (MB)])</f>
        <v>0</v>
      </c>
      <c r="N5" s="2">
        <f>SUBTOTAL(109,AWRData[PGA Use (MB)])</f>
        <v>0</v>
      </c>
      <c r="O5" s="2">
        <f>SUBTOTAL(109,AWRData[Read Throughput (MB/s)])</f>
        <v>0</v>
      </c>
      <c r="P5" s="2">
        <f>SUBTOTAL(109,AWRData[Write Throughput (MB/s)])</f>
        <v>0</v>
      </c>
      <c r="Q5" s="2">
        <f>SUBTOTAL(109,AWRData[Read IOPS])</f>
        <v>0</v>
      </c>
      <c r="R5" s="2">
        <f>SUBTOTAL(109,AWRData[Write IOPS])</f>
        <v>0</v>
      </c>
      <c r="S5" s="2">
        <f>SUBTOTAL(109,AWRData[Total Throughput (MB/s)])</f>
        <v>0</v>
      </c>
      <c r="T5" s="2">
        <f>SUBTOTAL(109,AWRData[Total IOPS])</f>
        <v>0</v>
      </c>
      <c r="U5" s="2">
        <f>SUBTOTAL(109,AWRData[CPU Total Capacity (sec)])</f>
        <v>0</v>
      </c>
      <c r="V5" s="2">
        <f>SUBTOTAL(109,AWRData[Observed Memory Use (GB)])</f>
        <v>0</v>
      </c>
      <c r="W5" s="2" t="e">
        <f>SUBTOTAL(109,AWRData[Source CPU HT Factor])</f>
        <v>#DIV/0!</v>
      </c>
      <c r="X5" s="4" t="e">
        <f>SUBTOTAL(109,AWRData[Average Active Sessions])</f>
        <v>#DIV/0!</v>
      </c>
    </row>
    <row r="7" spans="1:26" ht="36.75" customHeight="1" x14ac:dyDescent="0.25">
      <c r="A7" s="9" t="s">
        <v>84</v>
      </c>
      <c r="B7" s="19" t="s">
        <v>160</v>
      </c>
      <c r="C7" s="19"/>
      <c r="D7" s="19"/>
      <c r="E7" s="19"/>
      <c r="F7" s="19"/>
      <c r="G7" s="19"/>
      <c r="H7" s="19"/>
      <c r="I7" s="19"/>
      <c r="J7" s="19"/>
      <c r="K7" s="19"/>
      <c r="L7" s="19"/>
    </row>
    <row r="8" spans="1:26" ht="18.75" x14ac:dyDescent="0.3">
      <c r="A8" s="1" t="s">
        <v>35</v>
      </c>
    </row>
    <row r="9" spans="1:26" x14ac:dyDescent="0.25">
      <c r="A9" t="s">
        <v>12</v>
      </c>
      <c r="B9" t="s">
        <v>13</v>
      </c>
      <c r="C9" t="s">
        <v>36</v>
      </c>
      <c r="D9" t="s">
        <v>37</v>
      </c>
      <c r="E9" t="s">
        <v>38</v>
      </c>
      <c r="F9" t="s">
        <v>39</v>
      </c>
      <c r="G9" t="s">
        <v>40</v>
      </c>
    </row>
    <row r="10" spans="1:26" x14ac:dyDescent="0.25">
      <c r="C10" s="3" t="str">
        <f>IF(InstSummary[[#This Row],[Instance Name]]="","",SUMIFS(AWRData[DB Time (mins)],AWRData[Instance Name],InstSummary[[#This Row],[Instance Name]])/SUMIFS(AWRData[Elapsed Time (mins)],AWRData[Instance Name],InstSummary[[#This Row],[Instance Name]]))</f>
        <v/>
      </c>
      <c r="D10" s="2" t="str">
        <f>IF(InstSummary[[#This Row],[Instance Name]]="","",SUMIFS(AWRData[Observed Memory Use (GB)],AWRData[Instance Name],InstSummary[[#This Row],[Instance Name]]))</f>
        <v/>
      </c>
      <c r="E10" s="2" t="str">
        <f>IF(InstSummary[[#This Row],[Instance Name]]="","",SUMIFS(AWRData[Total IOPS],AWRData[Instance Name],InstSummary[[#This Row],[Instance Name]]))</f>
        <v/>
      </c>
      <c r="F10" s="2" t="str">
        <f>IF(InstSummary[[#This Row],[Instance Name]]="","",SUMIFS(AWRData[Total Throughput (MB/s)],AWRData[Instance Name],InstSummary[[#This Row],[Instance Name]]))</f>
        <v/>
      </c>
      <c r="G10" s="4" t="str">
        <f>IF(InstSummary[[#This Row],[Instance Name]]="","",InstSummary[[#This Row],[%DB Time of Elapsed Time (aka Avg Active Sessions or "AAS")]]*(vCPUHTFactor/SUMIFS(AWRData[Source CPU HT Factor],AWRData[Instance Name],InstSummary[[#This Row],[Instance Name]])))</f>
        <v/>
      </c>
    </row>
    <row r="11" spans="1:26" x14ac:dyDescent="0.25">
      <c r="A11" t="s">
        <v>9</v>
      </c>
      <c r="C11" s="3">
        <f>SUBTOTAL(109,InstSummary[%DB Time of Elapsed Time (aka Avg Active Sessions or "AAS")])</f>
        <v>0</v>
      </c>
      <c r="D11" s="2">
        <f>SUBTOTAL(109,InstSummary[Observed memory use (GB)])</f>
        <v>0</v>
      </c>
      <c r="E11" s="2">
        <f>SUBTOTAL(109,InstSummary[Observed IOPS])</f>
        <v>0</v>
      </c>
      <c r="F11" s="2">
        <f>SUBTOTAL(109,InstSummary[Observed Throughput (MB/s)])</f>
        <v>0</v>
      </c>
      <c r="G11" s="4">
        <f>SUBTOTAL(109,InstSummary[Observed vCPUs])</f>
        <v>0</v>
      </c>
    </row>
    <row r="13" spans="1:26" ht="36.75" customHeight="1" x14ac:dyDescent="0.25">
      <c r="A13" s="9" t="s">
        <v>85</v>
      </c>
      <c r="B13" s="19" t="s">
        <v>161</v>
      </c>
      <c r="C13" s="19"/>
      <c r="D13" s="19"/>
      <c r="E13" s="19"/>
      <c r="F13" s="19"/>
      <c r="G13" s="19"/>
      <c r="H13" s="19"/>
      <c r="I13" s="19"/>
      <c r="J13" s="19"/>
      <c r="K13" s="19"/>
      <c r="L13" s="19"/>
    </row>
    <row r="14" spans="1:26" ht="18.75" x14ac:dyDescent="0.3">
      <c r="A14" s="1" t="s">
        <v>41</v>
      </c>
    </row>
    <row r="15" spans="1:26" x14ac:dyDescent="0.25">
      <c r="A15" t="s">
        <v>14</v>
      </c>
      <c r="B15" t="s">
        <v>36</v>
      </c>
      <c r="C15" t="s">
        <v>37</v>
      </c>
      <c r="D15" t="s">
        <v>38</v>
      </c>
      <c r="E15" t="s">
        <v>39</v>
      </c>
      <c r="F15" t="s">
        <v>40</v>
      </c>
    </row>
    <row r="16" spans="1:26" x14ac:dyDescent="0.25">
      <c r="B16" s="3" t="str">
        <f>IF(HostSummary[[#This Row],[Host Name]]="","",SUMIFS(AWRData[DB Time (mins)],AWRData[Host Name],HostSummary[[#This Row],[Host Name]])/SUMIFS(AWRData[Elapsed Time (mins)],AWRData[Host Name],HostSummary[[#This Row],[Host Name]]))</f>
        <v/>
      </c>
      <c r="C16" s="2" t="str">
        <f>IF(HostSummary[[#This Row],[Host Name]]="","",SUMIFS(AWRData[Observed Memory Use (GB)],AWRData[Host Name],HostSummary[[#This Row],[Host Name]]))</f>
        <v/>
      </c>
      <c r="D16" s="2" t="str">
        <f>IF(HostSummary[[#This Row],[Host Name]]="","",SUMIFS(AWRData[Total IOPS],AWRData[Host Name],HostSummary[[#This Row],[Host Name]]))</f>
        <v/>
      </c>
      <c r="E16" s="2" t="str">
        <f>IF(HostSummary[[#This Row],[Host Name]]="","",SUMIFS(AWRData[Total Throughput (MB/s)],AWRData[Host Name],HostSummary[[#This Row],[Host Name]]))</f>
        <v/>
      </c>
      <c r="F16" s="2" t="str">
        <f>IF(HostSummary[[#This Row],[Host Name]]="","",ROUND(HostSummary[[#This Row],[%DB Time of Elapsed Time (aka Avg Active Sessions or "AAS")]]+0.5,0)*(vCPUHTFactor/AVERAGEIFS(AWRData[Source CPU HT Factor],AWRData[Host Name],HostSummary[[#This Row],[Host Name]])))</f>
        <v/>
      </c>
    </row>
    <row r="17" spans="1:12" x14ac:dyDescent="0.25">
      <c r="A17" t="s">
        <v>9</v>
      </c>
      <c r="B17" s="3">
        <f>SUBTOTAL(109,HostSummary[%DB Time of Elapsed Time (aka Avg Active Sessions or "AAS")])</f>
        <v>0</v>
      </c>
      <c r="C17" s="2">
        <f>SUBTOTAL(109,HostSummary[Observed memory use (GB)])</f>
        <v>0</v>
      </c>
      <c r="D17" s="2">
        <f>SUBTOTAL(109,HostSummary[Observed IOPS])</f>
        <v>0</v>
      </c>
      <c r="E17" s="2">
        <f>SUBTOTAL(109,HostSummary[Observed Throughput (MB/s)])</f>
        <v>0</v>
      </c>
      <c r="F17" s="2">
        <f>SUBTOTAL(109,HostSummary[Observed vCPUs])</f>
        <v>0</v>
      </c>
    </row>
    <row r="19" spans="1:12" ht="149.25" customHeight="1" x14ac:dyDescent="0.25">
      <c r="A19" s="9" t="s">
        <v>86</v>
      </c>
      <c r="B19" s="19" t="s">
        <v>172</v>
      </c>
      <c r="C19" s="19"/>
      <c r="D19" s="19"/>
      <c r="E19" s="19"/>
      <c r="F19" s="19"/>
      <c r="G19" s="19"/>
      <c r="H19" s="19"/>
      <c r="I19" s="19"/>
      <c r="J19" s="19"/>
      <c r="K19" s="19"/>
      <c r="L19" s="19"/>
    </row>
    <row r="20" spans="1:12" ht="18.75" x14ac:dyDescent="0.3">
      <c r="A20" s="1" t="s">
        <v>42</v>
      </c>
    </row>
    <row r="21" spans="1:12" ht="90" x14ac:dyDescent="0.25">
      <c r="A21" t="s">
        <v>64</v>
      </c>
      <c r="B21" t="s">
        <v>12</v>
      </c>
      <c r="C21" s="5" t="s">
        <v>65</v>
      </c>
      <c r="D21" s="5" t="s">
        <v>67</v>
      </c>
      <c r="E21" s="5" t="s">
        <v>68</v>
      </c>
      <c r="F21" s="5" t="s">
        <v>69</v>
      </c>
      <c r="G21" s="5" t="s">
        <v>72</v>
      </c>
      <c r="H21" s="5" t="s">
        <v>73</v>
      </c>
      <c r="I21" s="5" t="s">
        <v>70</v>
      </c>
      <c r="J21" s="5" t="s">
        <v>71</v>
      </c>
      <c r="K21" s="5" t="s">
        <v>74</v>
      </c>
      <c r="L21" s="5" t="s">
        <v>75</v>
      </c>
    </row>
    <row r="22" spans="1:12" x14ac:dyDescent="0.25">
      <c r="A22" s="10"/>
      <c r="C22" s="3" t="str">
        <f>IF(DBSummary[[#This Row],[DB Name]]="","",SUMIFS(AWRData[DB Time (mins)],AWRData[DB Name],DBSummary[[#This Row],[DB Name]])/SUMIFS(AWRData[Elapsed Time (mins)],AWRData[DB Name],DBSummary[[#This Row],[DB Name]]))</f>
        <v/>
      </c>
      <c r="D22" s="2" t="str">
        <f>IF(DBSummary[[#This Row],[DB Name]]="","",SUMIFS(AWRData[Observed Memory Use (GB)],AWRData[DB Name],DBSummary[[#This Row],[DB Name]]))</f>
        <v/>
      </c>
      <c r="E22" s="2" t="str">
        <f>IF(DBSummary[[#This Row],[DB Name]]="","",DBSummary[[#This Row],[Observed memory 
use (GB)]]*peakRamFactor)</f>
        <v/>
      </c>
      <c r="F22" s="2" t="str">
        <f>IF(DBSummary[[#This Row],[DB Name]]="","",SUMIFS(AWRData[Total IOPS],AWRData[DB Name],DBSummary[[#This Row],[DB Name]]))</f>
        <v/>
      </c>
      <c r="G22" s="2" t="str">
        <f>IF(DBSummary[[#This Row],[DB Name]]="","",SUMIFS(AWRData[Total Throughput (MB/s)],AWRData[DB Name],DBSummary[[#This Row],[DB Name]]))</f>
        <v/>
      </c>
      <c r="H22" s="2" t="str">
        <f>IF(DBSummary[[#This Row],[DB Name]]="","",DBSummary[[#This Row],[Observed 
IOPS]]*peakIOFactor)</f>
        <v/>
      </c>
      <c r="I22" s="2" t="str">
        <f>IF(DBSummary[[#This Row],[DB Name]]="","",DBSummary[[#This Row],[Observed 
Throughput 
(MB/s)]]*peakIOFactor)</f>
        <v/>
      </c>
      <c r="J22" s="2" t="str">
        <f>IF(DBSummary[[#This Row],[DB Name]]="","",ROUND(SUMIFS(InstSummary[Observed vCPUs],InstSummary[DB Name],DBSummary[[#This Row],[DB Name]])+0.5,0))</f>
        <v/>
      </c>
      <c r="K22" s="2" t="str">
        <f>IF(DBSummary[[#This Row],[DB Name]]="","",IF(SUMIFS(AWRData[% Busy CPU],AWRData[DB Name],DBSummary[[#This Row],[DB Name]])&lt;busyCPUThreshold,peakCPUFactor*DBSummary[[#This Row],[Observed 
Azure vCPUs]],(busyCPUFactor*peakCPUFactor)*DBSummary[[#This Row],[Observed 
Azure vCPUs]]))</f>
        <v/>
      </c>
      <c r="L22" s="10"/>
    </row>
    <row r="23" spans="1:12" x14ac:dyDescent="0.25">
      <c r="A23" t="s">
        <v>9</v>
      </c>
      <c r="C23" s="3">
        <f>SUBTOTAL(109,DBSummary[%DB Time of Elapsed Time 
(aka Avg Active Sessions or "AAS")])</f>
        <v>0</v>
      </c>
      <c r="D23" s="2">
        <f>SUBTOTAL(109,DBSummary[Observed memory 
use (GB)])</f>
        <v>0</v>
      </c>
      <c r="E23" s="2">
        <f>SUBTOTAL(109,DBSummary[Estimated RAM 
On Azure])</f>
        <v>0</v>
      </c>
      <c r="F23" s="2">
        <f>SUBTOTAL(109,DBSummary[Observed 
IOPS])</f>
        <v>0</v>
      </c>
      <c r="G23" s="2">
        <f>SUBTOTAL(109,DBSummary[Observed 
Throughput 
(MB/s)])</f>
        <v>0</v>
      </c>
      <c r="H23" s="2">
        <f>SUBTOTAL(109,DBSummary[Estimated IOPS 
On Azure 
for peak load])</f>
        <v>0</v>
      </c>
      <c r="I23" s="2">
        <f>SUBTOTAL(109,DBSummary[Estimated Throughput (MB/s) 
On Azure for peak load])</f>
        <v>0</v>
      </c>
      <c r="J23" s="2">
        <f>SUBTOTAL(109,DBSummary[Observed 
Azure vCPUs])</f>
        <v>0</v>
      </c>
      <c r="K23" s="2">
        <f>SUBTOTAL(109,DBSummary[Estimated vCPUs 
On Azure 
for peak load])</f>
        <v>0</v>
      </c>
      <c r="L23" s="2">
        <f>SUBTOTAL(109,DBSummary[Estimated
Storage Size
(GiB)])</f>
        <v>0</v>
      </c>
    </row>
  </sheetData>
  <mergeCells count="4">
    <mergeCell ref="B1:L1"/>
    <mergeCell ref="B7:L7"/>
    <mergeCell ref="B13:L13"/>
    <mergeCell ref="B19:L19"/>
  </mergeCells>
  <conditionalFormatting sqref="A4:Z4">
    <cfRule type="expression" dxfId="111" priority="1" stopIfTrue="1">
      <formula>OR(ISBLANK(A4),A4=0)</formula>
    </cfRule>
  </conditionalFormatting>
  <pageMargins left="0.7" right="0.7" top="0.75" bottom="0.75" header="0.3" footer="0.3"/>
  <pageSetup orientation="portrait" horizontalDpi="4294967293" verticalDpi="0"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E697E-B9EF-4B80-93B7-58036BFEFDD4}">
  <sheetPr codeName="Sheet5"/>
  <dimension ref="A1:CV20"/>
  <sheetViews>
    <sheetView workbookViewId="0">
      <pane xSplit="2" topLeftCell="C1" activePane="topRight" state="frozenSplit"/>
      <selection pane="topRight" activeCell="A6" sqref="A6"/>
    </sheetView>
  </sheetViews>
  <sheetFormatPr defaultRowHeight="15" x14ac:dyDescent="0.25"/>
  <cols>
    <col min="1" max="11" width="20.7109375" customWidth="1"/>
    <col min="12" max="12" width="22.42578125" customWidth="1"/>
    <col min="13" max="22" width="20.7109375" customWidth="1"/>
    <col min="23" max="23" width="20.7109375" style="6" customWidth="1"/>
    <col min="24" max="99" width="30.7109375" style="6" customWidth="1"/>
  </cols>
  <sheetData>
    <row r="1" spans="1:100" s="7" customFormat="1" ht="60" customHeight="1" x14ac:dyDescent="0.25">
      <c r="A1" s="20"/>
      <c r="B1" s="20"/>
      <c r="C1" s="12"/>
      <c r="D1" s="8"/>
      <c r="E1" s="8"/>
      <c r="F1" s="8"/>
      <c r="G1" s="8"/>
      <c r="H1" s="8"/>
      <c r="I1" s="8"/>
      <c r="J1" s="8"/>
      <c r="K1" s="8"/>
    </row>
    <row r="2" spans="1:100" s="7" customFormat="1" ht="93" customHeight="1" x14ac:dyDescent="0.25">
      <c r="A2" s="20"/>
      <c r="B2" s="20"/>
      <c r="C2" s="8"/>
      <c r="D2" s="8"/>
      <c r="E2" s="8"/>
      <c r="F2" s="8"/>
      <c r="G2" s="8"/>
      <c r="H2" s="8"/>
      <c r="I2" s="8"/>
      <c r="J2" s="8"/>
      <c r="K2" s="8"/>
    </row>
    <row r="3" spans="1:100" ht="18.75" x14ac:dyDescent="0.3">
      <c r="A3" s="1"/>
    </row>
    <row r="4" spans="1:100" ht="36.75" customHeight="1" x14ac:dyDescent="0.25">
      <c r="A4" s="26" t="s">
        <v>87</v>
      </c>
      <c r="B4" s="26"/>
      <c r="C4" s="25" t="str">
        <f>"Use slicers to filter what type of resources you would like to use for recommendations and then click on the 'Refresh Recommendations' button to calculate virtual machine and storage recommendations out of " &amp; SUBTOTAL(103,AzureVMSkus[name])&amp;" VM SKUs and " &amp; SUBTOTAL(103,AzureDiskSkus[name])&amp;" managed disk SKUs currently selected by filters . Note that each virtual machine and each storage recommendation is an alternative option. You should use one VM and one storage option for each 'Azure Server Name' "</f>
        <v xml:space="preserve">Use slicers to filter what type of resources you would like to use for recommendations and then click on the 'Refresh Recommendations' button to calculate virtual machine and storage recommendations out of 0 VM SKUs and 0 managed disk SKUs currently selected by filters . Note that each virtual machine and each storage recommendation is an alternative option. You should use one VM and one storage option for each 'Azure Server Name' </v>
      </c>
      <c r="D4" s="25"/>
      <c r="E4" s="25"/>
      <c r="F4" s="25"/>
      <c r="G4" s="25"/>
      <c r="H4" s="25"/>
      <c r="I4" s="25"/>
      <c r="J4" s="25"/>
      <c r="K4" s="25"/>
      <c r="L4" s="25"/>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row>
    <row r="5" spans="1:100" ht="18.75" x14ac:dyDescent="0.3">
      <c r="A5" s="1"/>
    </row>
    <row r="6" spans="1:100" ht="18.75" x14ac:dyDescent="0.3">
      <c r="A6" s="11" t="s">
        <v>66</v>
      </c>
      <c r="B6" s="11"/>
      <c r="C6" s="23" t="s">
        <v>190</v>
      </c>
      <c r="D6" s="23"/>
      <c r="E6" s="23"/>
      <c r="F6" s="23"/>
      <c r="G6" s="23"/>
      <c r="H6" s="23"/>
      <c r="I6" s="23"/>
      <c r="J6" s="23"/>
      <c r="K6" s="23"/>
      <c r="L6" s="23"/>
    </row>
    <row r="7" spans="1:100" ht="60" x14ac:dyDescent="0.25">
      <c r="A7" t="s">
        <v>64</v>
      </c>
      <c r="B7" t="s">
        <v>164</v>
      </c>
      <c r="C7" s="5" t="s">
        <v>65</v>
      </c>
      <c r="D7" s="5" t="s">
        <v>67</v>
      </c>
      <c r="E7" s="5" t="s">
        <v>68</v>
      </c>
      <c r="F7" s="5" t="s">
        <v>69</v>
      </c>
      <c r="G7" s="5" t="s">
        <v>72</v>
      </c>
      <c r="H7" s="5" t="s">
        <v>73</v>
      </c>
      <c r="I7" s="5" t="s">
        <v>70</v>
      </c>
      <c r="J7" s="5" t="s">
        <v>71</v>
      </c>
      <c r="K7" s="5" t="s">
        <v>74</v>
      </c>
      <c r="L7" s="5" t="s">
        <v>75</v>
      </c>
      <c r="W7"/>
      <c r="CV7" s="6"/>
    </row>
    <row r="8" spans="1:100" x14ac:dyDescent="0.25">
      <c r="A8" s="2"/>
      <c r="B8" s="2"/>
      <c r="C8" s="4" t="str">
        <f>IF(AzureServerSummary[[#This Row],[Azure Server Name]]="","",SUMIFS(DBSummary[%DB Time of Elapsed Time 
(aka Avg Active Sessions or "AAS")],DBSummary[Azure Server Name],AzureServerSummary[[#This Row],[Azure Server Name]]))</f>
        <v/>
      </c>
      <c r="D8" s="2" t="str">
        <f>IF(AzureServerSummary[[#This Row],[Azure Server Name]]="","",SUMIFS(DBSummary[Observed memory 
use (GB)],DBSummary[Azure Server Name],AzureServerSummary[[#This Row],[Azure Server Name]]))</f>
        <v/>
      </c>
      <c r="E8" s="2" t="str">
        <f>IF(AzureServerSummary[[#This Row],[Azure Server Name]]="","",SUMIFS(DBSummary[Estimated RAM 
On Azure],DBSummary[Azure Server Name],AzureServerSummary[[#This Row],[Azure Server Name]]))</f>
        <v/>
      </c>
      <c r="F8" s="2" t="str">
        <f>IF(AzureServerSummary[[#This Row],[Azure Server Name]]="","",SUMIFS(DBSummary[Observed 
IOPS],DBSummary[Azure Server Name],AzureServerSummary[[#This Row],[Azure Server Name]]))</f>
        <v/>
      </c>
      <c r="G8" s="2" t="str">
        <f>IF(AzureServerSummary[[#This Row],[Azure Server Name]]="","",SUMIFS(DBSummary[Observed 
Throughput 
(MB/s)],DBSummary[Azure Server Name],AzureServerSummary[[#This Row],[Azure Server Name]]))</f>
        <v/>
      </c>
      <c r="H8" s="2" t="str">
        <f>IF(AzureServerSummary[[#This Row],[Azure Server Name]]="","",SUMIFS(DBSummary[Estimated IOPS 
On Azure 
for peak load],DBSummary[Azure Server Name],AzureServerSummary[[#This Row],[Azure Server Name]]))</f>
        <v/>
      </c>
      <c r="I8" s="2" t="str">
        <f>IF(AzureServerSummary[[#This Row],[Azure Server Name]]="","",SUMIFS(DBSummary[Estimated Throughput (MB/s) 
On Azure for peak load],DBSummary[Azure Server Name],AzureServerSummary[[#This Row],[Azure Server Name]]))</f>
        <v/>
      </c>
      <c r="J8" s="2" t="str">
        <f>IF(AzureServerSummary[[#This Row],[Azure Server Name]]="","",SUMIFS(DBSummary[Observed 
Azure vCPUs],DBSummary[Azure Server Name],AzureServerSummary[[#This Row],[Azure Server Name]]))</f>
        <v/>
      </c>
      <c r="K8" s="2" t="str">
        <f>IF(AzureServerSummary[[#This Row],[Azure Server Name]]="","",SUMIFS(DBSummary[Estimated vCPUs 
On Azure 
for peak load],DBSummary[Azure Server Name],AzureServerSummary[[#This Row],[Azure Server Name]]))</f>
        <v/>
      </c>
      <c r="L8" s="2" t="str">
        <f>IF(AzureServerSummary[[#This Row],[Azure Server Name]]="","",SUMIFS(DBSummary[Estimated
Storage Size
(GiB)],DBSummary[Azure Server Name],AzureServerSummary[[#This Row],[Azure Server Name]]))</f>
        <v/>
      </c>
      <c r="W8"/>
      <c r="CV8" s="6"/>
    </row>
    <row r="9" spans="1:100" x14ac:dyDescent="0.25">
      <c r="A9" t="s">
        <v>9</v>
      </c>
      <c r="C9" s="4">
        <f>SUBTOTAL(109,AzureServerSummary[%DB Time of Elapsed Time 
(aka Avg Active Sessions or "AAS")])</f>
        <v>0</v>
      </c>
      <c r="D9" s="2">
        <f>SUBTOTAL(109,AzureServerSummary[Observed memory 
use (GB)])</f>
        <v>0</v>
      </c>
      <c r="E9" s="2">
        <f>SUBTOTAL(109,AzureServerSummary[Estimated RAM 
On Azure])</f>
        <v>0</v>
      </c>
      <c r="F9" s="2">
        <f>SUBTOTAL(109,AzureServerSummary[Observed 
IOPS])</f>
        <v>0</v>
      </c>
      <c r="G9" s="2">
        <f>SUBTOTAL(109,AzureServerSummary[Observed 
Throughput 
(MB/s)])</f>
        <v>0</v>
      </c>
      <c r="H9" s="2">
        <f>SUBTOTAL(109,AzureServerSummary[Estimated IOPS 
On Azure 
for peak load])</f>
        <v>0</v>
      </c>
      <c r="I9" s="2">
        <f>SUBTOTAL(109,AzureServerSummary[Estimated Throughput (MB/s) 
On Azure for peak load])</f>
        <v>0</v>
      </c>
      <c r="J9" s="2">
        <f>SUBTOTAL(109,AzureServerSummary[Observed 
Azure vCPUs])</f>
        <v>0</v>
      </c>
      <c r="K9" s="2">
        <f>SUBTOTAL(109,AzureServerSummary[Estimated vCPUs 
On Azure 
for peak load])</f>
        <v>0</v>
      </c>
      <c r="L9" s="2">
        <f>SUBTOTAL(109,AzureServerSummary[Estimated
Storage Size
(GiB)])</f>
        <v>0</v>
      </c>
      <c r="W9"/>
      <c r="CV9" s="6"/>
    </row>
    <row r="11" spans="1:100" ht="18.75" x14ac:dyDescent="0.3">
      <c r="A11" s="1"/>
    </row>
    <row r="12" spans="1:100" ht="18.75" customHeight="1" x14ac:dyDescent="0.25">
      <c r="A12" s="21" t="s">
        <v>165</v>
      </c>
      <c r="B12" s="21"/>
      <c r="C12" s="22" t="s">
        <v>163</v>
      </c>
      <c r="D12" s="22"/>
      <c r="E12" s="22"/>
      <c r="F12" s="22"/>
      <c r="G12" s="22"/>
      <c r="H12" s="22"/>
      <c r="I12" s="22"/>
      <c r="J12" s="22"/>
      <c r="K12" s="22"/>
      <c r="L12" s="22"/>
      <c r="M12" s="22"/>
      <c r="N12" s="22"/>
      <c r="O12" s="22"/>
      <c r="P12" s="22"/>
      <c r="Q12" s="22"/>
      <c r="R12" s="22"/>
      <c r="S12" s="22"/>
      <c r="T12" s="22"/>
      <c r="U12" s="22"/>
      <c r="V12" s="22"/>
      <c r="W12" s="22"/>
      <c r="X12"/>
      <c r="Y12"/>
      <c r="Z12"/>
    </row>
    <row r="13" spans="1:100" x14ac:dyDescent="0.25">
      <c r="A13" s="21"/>
      <c r="B13" s="21"/>
      <c r="C13" s="22"/>
      <c r="D13" s="22"/>
      <c r="E13" s="22"/>
      <c r="F13" s="22"/>
      <c r="G13" s="22"/>
      <c r="H13" s="22"/>
      <c r="I13" s="22"/>
      <c r="J13" s="22"/>
      <c r="K13" s="22"/>
      <c r="L13" s="22"/>
      <c r="M13" s="22"/>
      <c r="N13" s="22"/>
      <c r="O13" s="22"/>
      <c r="P13" s="22"/>
      <c r="Q13" s="22"/>
      <c r="R13" s="22"/>
      <c r="S13" s="22"/>
      <c r="T13" s="22"/>
      <c r="U13" s="22"/>
      <c r="V13" s="22"/>
      <c r="W13" s="22"/>
      <c r="X13"/>
      <c r="Y13"/>
      <c r="Z13"/>
    </row>
    <row r="14" spans="1:100" x14ac:dyDescent="0.25">
      <c r="A14" t="s">
        <v>64</v>
      </c>
      <c r="B14" t="s">
        <v>43</v>
      </c>
      <c r="C14" t="s">
        <v>44</v>
      </c>
      <c r="D14" t="s">
        <v>45</v>
      </c>
      <c r="E14" t="s">
        <v>46</v>
      </c>
      <c r="F14" t="s">
        <v>88</v>
      </c>
      <c r="G14" t="s">
        <v>47</v>
      </c>
      <c r="H14" t="s">
        <v>48</v>
      </c>
      <c r="I14" t="s">
        <v>49</v>
      </c>
      <c r="J14" t="s">
        <v>50</v>
      </c>
      <c r="K14" t="s">
        <v>51</v>
      </c>
      <c r="L14" t="s">
        <v>52</v>
      </c>
      <c r="M14" t="s">
        <v>53</v>
      </c>
      <c r="N14" t="s">
        <v>54</v>
      </c>
      <c r="O14" t="s">
        <v>55</v>
      </c>
      <c r="P14" t="s">
        <v>56</v>
      </c>
      <c r="Q14" t="s">
        <v>191</v>
      </c>
      <c r="R14" t="s">
        <v>58</v>
      </c>
      <c r="S14" t="s">
        <v>59</v>
      </c>
      <c r="T14" t="s">
        <v>60</v>
      </c>
      <c r="U14" t="s">
        <v>61</v>
      </c>
      <c r="V14" t="s">
        <v>62</v>
      </c>
      <c r="W14" t="s">
        <v>63</v>
      </c>
      <c r="CV14" s="6"/>
    </row>
    <row r="15" spans="1:100" x14ac:dyDescent="0.25">
      <c r="F15" s="16"/>
      <c r="P15" s="17"/>
      <c r="Q15" s="18"/>
      <c r="W15"/>
      <c r="CV15" s="6"/>
    </row>
    <row r="17" spans="1:22" ht="18.75" x14ac:dyDescent="0.3">
      <c r="A17" s="1"/>
    </row>
    <row r="18" spans="1:22" ht="18.75" x14ac:dyDescent="0.3">
      <c r="A18" s="24" t="s">
        <v>82</v>
      </c>
      <c r="B18" s="24"/>
      <c r="C18" s="24"/>
      <c r="D18" s="24"/>
      <c r="E18" s="24"/>
      <c r="F18" s="24"/>
      <c r="G18" s="24"/>
      <c r="H18" s="24"/>
      <c r="I18" s="24"/>
      <c r="J18" s="1"/>
      <c r="K18" s="1"/>
      <c r="L18" s="1"/>
      <c r="M18" s="1"/>
      <c r="N18" s="1"/>
      <c r="O18" s="1"/>
      <c r="P18" s="1"/>
      <c r="Q18" s="1"/>
      <c r="R18" s="1"/>
      <c r="S18" s="1"/>
      <c r="T18" s="1"/>
      <c r="U18" s="1"/>
      <c r="V18" s="1"/>
    </row>
    <row r="19" spans="1:22" x14ac:dyDescent="0.25">
      <c r="A19" t="s">
        <v>64</v>
      </c>
      <c r="B19" t="s">
        <v>76</v>
      </c>
      <c r="C19" t="s">
        <v>175</v>
      </c>
      <c r="D19" t="s">
        <v>77</v>
      </c>
      <c r="E19" t="s">
        <v>78</v>
      </c>
      <c r="F19" t="s">
        <v>79</v>
      </c>
      <c r="G19" t="s">
        <v>80</v>
      </c>
      <c r="H19" t="s">
        <v>81</v>
      </c>
      <c r="I19" t="s">
        <v>162</v>
      </c>
    </row>
    <row r="20" spans="1:22" x14ac:dyDescent="0.25">
      <c r="D20" s="13"/>
      <c r="E20" s="13"/>
      <c r="F20" s="13"/>
      <c r="G20" s="13"/>
      <c r="H20" s="13"/>
      <c r="I20" s="15"/>
    </row>
  </sheetData>
  <mergeCells count="8">
    <mergeCell ref="A1:B2"/>
    <mergeCell ref="A12:B13"/>
    <mergeCell ref="C12:W13"/>
    <mergeCell ref="C6:L6"/>
    <mergeCell ref="A18:B18"/>
    <mergeCell ref="C4:L4"/>
    <mergeCell ref="A4:B4"/>
    <mergeCell ref="C18:I18"/>
  </mergeCell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Refresh">
              <controlPr defaultSize="0" print="0" autoFill="0" autoPict="0" macro="[0]!RefreshRecommendations">
                <anchor moveWithCells="1" sizeWithCells="1">
                  <from>
                    <xdr:col>0</xdr:col>
                    <xdr:colOff>47625</xdr:colOff>
                    <xdr:row>0</xdr:row>
                    <xdr:rowOff>219075</xdr:rowOff>
                  </from>
                  <to>
                    <xdr:col>2</xdr:col>
                    <xdr:colOff>0</xdr:colOff>
                    <xdr:row>1</xdr:row>
                    <xdr:rowOff>876300</xdr:rowOff>
                  </to>
                </anchor>
              </controlPr>
            </control>
          </mc:Choice>
        </mc:AlternateContent>
      </controls>
    </mc:Choice>
  </mc:AlternateContent>
  <tableParts count="3">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7572C-82B8-4507-85AB-A126189D382D}">
  <sheetPr codeName="Sheet1"/>
  <dimension ref="A1:B12"/>
  <sheetViews>
    <sheetView workbookViewId="0"/>
  </sheetViews>
  <sheetFormatPr defaultRowHeight="15" x14ac:dyDescent="0.25"/>
  <cols>
    <col min="1" max="1" width="46" bestFit="1" customWidth="1"/>
    <col min="2" max="2" width="10.7109375" customWidth="1"/>
  </cols>
  <sheetData>
    <row r="1" spans="1:2" x14ac:dyDescent="0.25">
      <c r="A1" t="s">
        <v>0</v>
      </c>
      <c r="B1" t="s">
        <v>7</v>
      </c>
    </row>
    <row r="2" spans="1:2" x14ac:dyDescent="0.25">
      <c r="A2" t="s">
        <v>1</v>
      </c>
      <c r="B2">
        <v>2</v>
      </c>
    </row>
    <row r="3" spans="1:2" x14ac:dyDescent="0.25">
      <c r="A3" t="s">
        <v>2</v>
      </c>
      <c r="B3">
        <v>2</v>
      </c>
    </row>
    <row r="4" spans="1:2" x14ac:dyDescent="0.25">
      <c r="A4" t="s">
        <v>3</v>
      </c>
      <c r="B4">
        <v>2</v>
      </c>
    </row>
    <row r="5" spans="1:2" x14ac:dyDescent="0.25">
      <c r="A5" t="s">
        <v>4</v>
      </c>
      <c r="B5">
        <v>2</v>
      </c>
    </row>
    <row r="6" spans="1:2" x14ac:dyDescent="0.25">
      <c r="A6" t="s">
        <v>5</v>
      </c>
      <c r="B6">
        <v>0.75</v>
      </c>
    </row>
    <row r="7" spans="1:2" x14ac:dyDescent="0.25">
      <c r="A7" t="s">
        <v>6</v>
      </c>
      <c r="B7">
        <v>1.25</v>
      </c>
    </row>
    <row r="8" spans="1:2" x14ac:dyDescent="0.25">
      <c r="A8" t="s">
        <v>168</v>
      </c>
      <c r="B8">
        <v>0</v>
      </c>
    </row>
    <row r="9" spans="1:2" x14ac:dyDescent="0.25">
      <c r="A9" t="s">
        <v>174</v>
      </c>
      <c r="B9">
        <v>1000</v>
      </c>
    </row>
    <row r="10" spans="1:2" x14ac:dyDescent="0.25">
      <c r="A10" t="s">
        <v>169</v>
      </c>
      <c r="B10" s="14">
        <v>0.7</v>
      </c>
    </row>
    <row r="11" spans="1:2" x14ac:dyDescent="0.25">
      <c r="A11" t="s">
        <v>170</v>
      </c>
      <c r="B11" s="3">
        <v>1.5</v>
      </c>
    </row>
    <row r="12" spans="1:2" x14ac:dyDescent="0.25">
      <c r="A12" t="s">
        <v>171</v>
      </c>
      <c r="B12" s="3">
        <v>0.7</v>
      </c>
    </row>
  </sheetData>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E678D-9AEA-4808-A2EA-1D83592D0FF5}">
  <sheetPr codeName="Sheet3"/>
  <dimension ref="A1:BE1"/>
  <sheetViews>
    <sheetView topLeftCell="N1" workbookViewId="0">
      <selection activeCell="P2" sqref="P2"/>
    </sheetView>
  </sheetViews>
  <sheetFormatPr defaultColWidth="25.85546875" defaultRowHeight="15" x14ac:dyDescent="0.25"/>
  <sheetData>
    <row r="1" spans="1:57" x14ac:dyDescent="0.25">
      <c r="A1" t="s">
        <v>43</v>
      </c>
      <c r="B1" t="s">
        <v>44</v>
      </c>
      <c r="C1" t="s">
        <v>45</v>
      </c>
      <c r="D1" t="s">
        <v>46</v>
      </c>
      <c r="E1" t="s">
        <v>89</v>
      </c>
      <c r="F1" t="s">
        <v>90</v>
      </c>
      <c r="G1" t="s">
        <v>88</v>
      </c>
      <c r="H1" t="s">
        <v>166</v>
      </c>
      <c r="I1" t="s">
        <v>48</v>
      </c>
      <c r="J1" t="s">
        <v>53</v>
      </c>
      <c r="K1" t="s">
        <v>54</v>
      </c>
      <c r="L1" t="s">
        <v>176</v>
      </c>
      <c r="M1" t="s">
        <v>177</v>
      </c>
      <c r="N1" t="s">
        <v>178</v>
      </c>
      <c r="O1" t="s">
        <v>179</v>
      </c>
      <c r="P1" t="s">
        <v>180</v>
      </c>
      <c r="Q1" t="s">
        <v>181</v>
      </c>
      <c r="R1" t="s">
        <v>182</v>
      </c>
      <c r="S1" t="s">
        <v>183</v>
      </c>
      <c r="T1" t="s">
        <v>184</v>
      </c>
      <c r="U1" t="s">
        <v>185</v>
      </c>
      <c r="V1" t="s">
        <v>186</v>
      </c>
      <c r="W1" t="s">
        <v>187</v>
      </c>
      <c r="X1" t="s">
        <v>188</v>
      </c>
      <c r="Y1" t="s">
        <v>189</v>
      </c>
      <c r="Z1" t="s">
        <v>91</v>
      </c>
      <c r="AA1" t="s">
        <v>47</v>
      </c>
      <c r="AB1" t="s">
        <v>92</v>
      </c>
      <c r="AC1" t="s">
        <v>49</v>
      </c>
      <c r="AD1" t="s">
        <v>50</v>
      </c>
      <c r="AE1" t="s">
        <v>51</v>
      </c>
      <c r="AF1" t="s">
        <v>93</v>
      </c>
      <c r="AG1" t="s">
        <v>94</v>
      </c>
      <c r="AH1" t="s">
        <v>52</v>
      </c>
      <c r="AI1" t="s">
        <v>95</v>
      </c>
      <c r="AJ1" t="s">
        <v>96</v>
      </c>
      <c r="AK1" t="s">
        <v>58</v>
      </c>
      <c r="AL1" t="s">
        <v>59</v>
      </c>
      <c r="AM1" t="s">
        <v>60</v>
      </c>
      <c r="AN1" t="s">
        <v>61</v>
      </c>
      <c r="AO1" t="s">
        <v>97</v>
      </c>
      <c r="AP1" t="s">
        <v>62</v>
      </c>
      <c r="AQ1" t="s">
        <v>98</v>
      </c>
      <c r="AR1" t="s">
        <v>99</v>
      </c>
      <c r="AS1" t="s">
        <v>100</v>
      </c>
      <c r="AT1" t="s">
        <v>56</v>
      </c>
      <c r="AU1" t="s">
        <v>57</v>
      </c>
      <c r="AV1" t="s">
        <v>55</v>
      </c>
      <c r="AW1" t="s">
        <v>63</v>
      </c>
      <c r="AX1" t="s">
        <v>101</v>
      </c>
      <c r="AY1" t="s">
        <v>102</v>
      </c>
      <c r="AZ1" t="s">
        <v>103</v>
      </c>
      <c r="BA1" t="s">
        <v>104</v>
      </c>
      <c r="BB1" t="s">
        <v>105</v>
      </c>
      <c r="BC1" t="s">
        <v>106</v>
      </c>
      <c r="BD1" t="s">
        <v>107</v>
      </c>
      <c r="BE1" t="s">
        <v>108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A79AC-1FB8-4447-A129-44A77ED47B7F}">
  <sheetPr codeName="Sheet4"/>
  <dimension ref="A1:AL1"/>
  <sheetViews>
    <sheetView workbookViewId="0">
      <selection activeCell="H1" sqref="H1"/>
    </sheetView>
  </sheetViews>
  <sheetFormatPr defaultRowHeight="15" x14ac:dyDescent="0.25"/>
  <cols>
    <col min="1" max="1" width="23.42578125" customWidth="1"/>
    <col min="2" max="7" width="11" customWidth="1"/>
    <col min="9" max="10" width="11" customWidth="1"/>
    <col min="11" max="38" width="12" customWidth="1"/>
  </cols>
  <sheetData>
    <row r="1" spans="1:38" x14ac:dyDescent="0.25">
      <c r="A1" t="s">
        <v>43</v>
      </c>
      <c r="B1" t="s">
        <v>44</v>
      </c>
      <c r="C1" t="s">
        <v>45</v>
      </c>
      <c r="D1" t="s">
        <v>46</v>
      </c>
      <c r="E1" t="s">
        <v>89</v>
      </c>
      <c r="F1" t="s">
        <v>90</v>
      </c>
      <c r="G1" t="s">
        <v>88</v>
      </c>
      <c r="H1" t="s">
        <v>167</v>
      </c>
      <c r="I1" t="s">
        <v>109</v>
      </c>
      <c r="J1" t="s">
        <v>110</v>
      </c>
      <c r="K1" t="s">
        <v>111</v>
      </c>
      <c r="L1" t="s">
        <v>112</v>
      </c>
      <c r="M1" t="s">
        <v>113</v>
      </c>
      <c r="N1" t="s">
        <v>114</v>
      </c>
      <c r="O1" t="s">
        <v>115</v>
      </c>
      <c r="P1" t="s">
        <v>116</v>
      </c>
      <c r="Q1" t="s">
        <v>117</v>
      </c>
      <c r="R1" t="s">
        <v>118</v>
      </c>
      <c r="S1" t="s">
        <v>119</v>
      </c>
      <c r="T1" t="s">
        <v>120</v>
      </c>
      <c r="U1" t="s">
        <v>121</v>
      </c>
      <c r="V1" t="s">
        <v>122</v>
      </c>
      <c r="W1" t="s">
        <v>123</v>
      </c>
      <c r="X1" t="s">
        <v>124</v>
      </c>
      <c r="Y1" t="s">
        <v>125</v>
      </c>
      <c r="Z1" t="s">
        <v>126</v>
      </c>
      <c r="AA1" t="s">
        <v>127</v>
      </c>
      <c r="AB1" t="s">
        <v>128</v>
      </c>
      <c r="AC1" t="s">
        <v>129</v>
      </c>
      <c r="AD1" t="s">
        <v>130</v>
      </c>
      <c r="AE1" t="s">
        <v>131</v>
      </c>
      <c r="AF1" t="s">
        <v>132</v>
      </c>
      <c r="AG1" t="s">
        <v>133</v>
      </c>
      <c r="AH1" t="s">
        <v>134</v>
      </c>
      <c r="AI1" t="s">
        <v>135</v>
      </c>
      <c r="AJ1" t="s">
        <v>136</v>
      </c>
      <c r="AK1" t="s">
        <v>137</v>
      </c>
      <c r="AL1" t="s">
        <v>138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8B85E-6F5F-4359-ACFB-6F53AFCD070E}">
  <sheetPr codeName="Sheet6"/>
  <dimension ref="A1:U1"/>
  <sheetViews>
    <sheetView workbookViewId="0"/>
  </sheetViews>
  <sheetFormatPr defaultRowHeight="15" x14ac:dyDescent="0.25"/>
  <cols>
    <col min="1" max="9" width="11" customWidth="1"/>
    <col min="10" max="21" width="12" customWidth="1"/>
  </cols>
  <sheetData>
    <row r="1" spans="1:21" x14ac:dyDescent="0.25">
      <c r="A1" t="s">
        <v>139</v>
      </c>
      <c r="B1" t="s">
        <v>140</v>
      </c>
      <c r="C1" t="s">
        <v>141</v>
      </c>
      <c r="D1" t="s">
        <v>142</v>
      </c>
      <c r="E1" t="s">
        <v>143</v>
      </c>
      <c r="F1" t="s">
        <v>144</v>
      </c>
      <c r="G1" t="s">
        <v>145</v>
      </c>
      <c r="H1" t="s">
        <v>146</v>
      </c>
      <c r="I1" t="s">
        <v>147</v>
      </c>
      <c r="J1" t="s">
        <v>148</v>
      </c>
      <c r="K1" t="s">
        <v>90</v>
      </c>
      <c r="L1" t="s">
        <v>149</v>
      </c>
      <c r="M1" t="s">
        <v>150</v>
      </c>
      <c r="N1" t="s">
        <v>151</v>
      </c>
      <c r="O1" t="s">
        <v>152</v>
      </c>
      <c r="P1" t="s">
        <v>153</v>
      </c>
      <c r="Q1" t="s">
        <v>154</v>
      </c>
      <c r="R1" t="s">
        <v>155</v>
      </c>
      <c r="S1" t="s">
        <v>156</v>
      </c>
      <c r="T1" t="s">
        <v>157</v>
      </c>
      <c r="U1" t="s">
        <v>158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032F11-5464-42E2-84F6-C9ED1AB0188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vt:lpstr>
      <vt:lpstr>Recommendations</vt:lpstr>
      <vt:lpstr>Settings</vt:lpstr>
      <vt:lpstr>AzureVMSkus</vt:lpstr>
      <vt:lpstr>AzureDiskSkus</vt:lpstr>
      <vt:lpstr>AzurePriceList</vt:lpstr>
      <vt:lpstr>busyCPUFactor</vt:lpstr>
      <vt:lpstr>busyCPUThreshold</vt:lpstr>
      <vt:lpstr>NetApp_MinIOPSForRecommendation</vt:lpstr>
      <vt:lpstr>NetApp_MinThroughputMBsForRecommendation</vt:lpstr>
      <vt:lpstr>peakCPUFactor</vt:lpstr>
      <vt:lpstr>peakIOFactor</vt:lpstr>
      <vt:lpstr>peakRamFactor</vt:lpstr>
      <vt:lpstr>RecommendVMCPUsLowerLimitPercent</vt:lpstr>
      <vt:lpstr>RecommendVMCPUsUpperLimitPercent</vt:lpstr>
      <vt:lpstr>RecommendVMMemoryLowerLimitPercent</vt:lpstr>
      <vt:lpstr>vCPUHTFactor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Onder Yildirim</dc:creator>
  <cp:lastModifiedBy>Onder Yildirim</cp:lastModifiedBy>
  <dcterms:created xsi:type="dcterms:W3CDTF">2023-04-29T20:58:16Z</dcterms:created>
  <dcterms:modified xsi:type="dcterms:W3CDTF">2023-06-13T19:12:59Z</dcterms:modified>
</cp:coreProperties>
</file>