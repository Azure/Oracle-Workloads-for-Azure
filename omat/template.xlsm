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38" documentId="8_{B9736492-91AE-44B9-A3D5-969CD10F0B74}" xr6:coauthVersionLast="47" xr6:coauthVersionMax="47" xr10:uidLastSave="{061353E0-EC84-4DC5-B674-2DBA075B65FB}"/>
  <bookViews>
    <workbookView xWindow="3855" yWindow="3855" windowWidth="43200" windowHeight="1264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5" l="1"/>
  <c r="L8" i="5"/>
  <c r="L9" i="5" s="1"/>
  <c r="K8" i="5"/>
  <c r="K9" i="5" s="1"/>
  <c r="J8" i="5"/>
  <c r="J9" i="5" s="1"/>
  <c r="I8" i="5"/>
  <c r="I9" i="5" s="1"/>
  <c r="H8" i="5"/>
  <c r="H9" i="5" s="1"/>
  <c r="G8" i="5"/>
  <c r="G9" i="5" s="1"/>
  <c r="F8" i="5"/>
  <c r="F9" i="5" s="1"/>
  <c r="E8" i="5"/>
  <c r="E9" i="5" s="1"/>
  <c r="D8" i="5"/>
  <c r="D9" i="5" s="1"/>
  <c r="C8" i="5"/>
  <c r="C9" i="5" s="1"/>
  <c r="L23" i="1"/>
  <c r="K23" i="1"/>
  <c r="J23" i="1"/>
  <c r="I23" i="1"/>
  <c r="H23" i="1"/>
  <c r="G23" i="1"/>
  <c r="F23" i="1"/>
  <c r="E23" i="1"/>
  <c r="D23" i="1"/>
  <c r="C23" i="1"/>
  <c r="K22" i="1"/>
  <c r="J22" i="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<sst xmlns="http://schemas.openxmlformats.org/spreadsheetml/2006/main" count="248" uniqueCount="193">
  <si>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</si>
  <si>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</si>
  <si>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</si>
  <si>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</si>
  <si>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</si>
  <si>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</si>
  <si>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</si>
  <si>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</si>
  <si>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</si>
  <si>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</si>
  <si>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</si>
  <si>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</si>
  <si>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</si>
  <si>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</si>
  <si>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</si>
  <si>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</si>
  <si>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</si>
  <si>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</si>
  <si>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</si>
  <si>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</si>
  <si>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</si>
  <si>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</si>
  <si>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</si>
  <si>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</si>
  <si>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</si>
  <si>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</si>
  <si>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</si>
  <si>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</si>
  <si>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</si>
  <si>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</si>
  <si>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</si>
  <si>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</si>
  <si>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</si>
  <si>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</si>
  <si>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</si>
  <si>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</si>
  <si>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</si>
  <si>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</si>
  <si>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</si>
  <si>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</si>
  <si>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</si>
  <si>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</si>
  <si>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</si>
  <si>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</si>
  <si>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</si>
  <si>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</si>
  <si>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</si>
  <si>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</si>
  <si>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</si>
  <si>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</si>
  <si>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</si>
  <si>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</si>
  <si>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</si>
  <si>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</si>
  <si>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</si>
  <si>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</si>
  <si>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</si>
  <si>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</si>
  <si>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</si>
  <si>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</si>
  <si>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</si>
  <si>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</si>
  <si>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</si>
  <si>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</si>
  <si>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</si>
  <si>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</si>
  <si>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</si>
  <si>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</si>
  <si>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</si>
  <si>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</si>
  <si>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</si>
  <si>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</si>
  <si>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</si>
  <si>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</si>
  <si>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</si>
  <si>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</si>
  <si>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</si>
  <si>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</si>
  <si>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</si>
  <si>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</si>
  <si>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</si>
  <si>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</si>
  <si>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</si>
  <si>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</si>
  <si>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</si>
  <si>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</si>
  <si>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</si>
  <si>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</si>
  <si>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</si>
  <si>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</si>
  <si>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</si>
  <si>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</si>
  <si>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</si>
  <si>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</si>
  <si>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</si>
  <si>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</si>
  <si>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</si>
  <si>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</si>
  <si>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</si>
  <si>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</si>
  <si>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</si>
  <si>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</si>
  <si>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</si>
  <si>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</si>
  <si>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</si>
  <si>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</si>
  <si>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</si>
  <si>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</si>
  <si>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</si>
  <si>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</si>
  <si>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</si>
  <si>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</si>
  <si>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</si>
  <si>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</si>
  <si>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</si>
  <si>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</si>
  <si>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</si>
  <si>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</si>
  <si>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</si>
  <si>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</si>
  <si>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</si>
  <si>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</si>
  <si>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</si>
  <si>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</si>
  <si>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</si>
  <si>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</si>
  <si>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</si>
  <si>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</si>
  <si>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</si>
  <si>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</si>
  <si>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</si>
  <si>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</si>
  <si>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</si>
  <si>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</si>
  <si>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</si>
  <si>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</si>
  <si>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</si>
  <si>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</si>
  <si>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</si>
  <si>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</si>
  <si>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</si>
  <si>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</si>
  <si>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</si>
  <si>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</si>
  <si>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</si>
  <si>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</si>
  <si>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</si>
  <si>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</si>
  <si>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</si>
  <si>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</si>
  <si>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</si>
  <si>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</si>
  <si>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</si>
  <si>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</si>
  <si>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</si>
  <si>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</si>
  <si>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</si>
  <si>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</si>
  <si>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</si>
  <si>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</si>
  <si>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</si>
  <si>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</si>
  <si>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</si>
  <si>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DAS (Direct Attached Storage)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(DAS or NAS).</t>
    </r>
  </si>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</sst>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409]#,##0"/>
    <numFmt numFmtId="166" formatCode="#,##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7">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4" fontId="0" fillId="0" borderId="0" xfId="1" applyNumberFormat="1" applyFont="1"/>
    <xf numFmtId="9" fontId="0" fillId="0" borderId="0" xfId="2" applyFont="1"/>
    <xf numFmtId="165" fontId="0" fillId="0" borderId="0" xfId="1" applyNumberFormat="1" applyFont="1"/>
    <xf numFmtId="165" fontId="0" fillId="0" borderId="0" xfId="0" applyNumberFormat="1"/>
    <xf numFmtId="3" fontId="0" fillId="0" borderId="0" xfId="1" applyNumberFormat="1" applyFont="1"/>
    <xf numFmtId="166"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cellXfs>
  <cellStyles count="3">
    <cellStyle name="Comma" xfId="1" builtinId="3"/>
    <cellStyle name="Normal" xfId="0" builtinId="0"/>
    <cellStyle name="Percent" xfId="2" builtinId="5"/>
  </cellStyles>
  <dxfs count="113">
    <dxf>
      <numFmt numFmtId="164" formatCode="_(* #,##0_);_(* \(#,##0\);_(* &quot;-&quot;??_);_(@_)"/>
    </dxf>
    <dxf>
      <numFmt numFmtId="165" formatCode="[$$-409]#,##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4" formatCode="#,##0.00"/>
    </dxf>
    <dxf>
      <numFmt numFmtId="3" formatCode="#,##0"/>
    </dxf>
    <dxf>
      <numFmt numFmtId="3" formatCode="#,##0"/>
    </dxf>
    <dxf>
      <numFmt numFmtId="166" formatCode="#,##0,,"/>
    </dxf>
    <dxf>
      <numFmt numFmtId="3" formatCode="#,##0"/>
    </dxf>
    <dxf>
      <numFmt numFmtId="165" formatCode="[$$-409]#,##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9.xml"/><Relationship Id="rId23" Type="http://schemas.openxmlformats.org/officeDocument/2006/relationships/customXml" Target="../customXml/item1.xml"/><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1" totalsRowDxfId="110"/>
    <tableColumn id="7" xr3:uid="{2AA813B1-C2C9-4C0D-951A-F33C6F780A46}" name="DB Time (mins)" totalsRowFunction="sum" dataDxfId="109" totalsRowDxfId="108"/>
    <tableColumn id="8" xr3:uid="{1357CE89-D2D8-4B0D-ADB4-4726A8A9357B}" name="DB CPU" totalsRowFunction="sum" dataDxfId="107" totalsRowDxfId="106"/>
    <tableColumn id="9" xr3:uid="{A0BD86B8-EC6A-4379-95AD-4C3A0AF21023}" name="CPUs" totalsRowFunction="sum" dataDxfId="105" totalsRowDxfId="104"/>
    <tableColumn id="10" xr3:uid="{86C2D852-3F34-4445-AA1E-E70EC6A527F3}" name="Cores" totalsRowFunction="sum" dataDxfId="103" totalsRowDxfId="102"/>
    <tableColumn id="11" xr3:uid="{643C3C65-26DC-4A21-B74B-385B8CB6B167}" name="Memory (GB)" totalsRowFunction="sum" dataDxfId="101" totalsRowDxfId="100"/>
    <tableColumn id="12" xr3:uid="{8C782AAD-F0F2-4790-BD63-006D2350277D}" name="% Busy CPU" totalsRowFunction="sum" dataDxfId="99" totalsRowDxfId="98"/>
    <tableColumn id="13" xr3:uid="{4F188F55-0B0F-440E-99D5-D60CBA42682C}" name="SGA Use (MB)" totalsRowFunction="sum" dataDxfId="97" totalsRowDxfId="96"/>
    <tableColumn id="14" xr3:uid="{24D979AD-9CC1-42B5-9B8D-CD03F9E2DC80}" name="PGA Use (MB)" totalsRowFunction="sum" dataDxfId="95" totalsRowDxfId="94"/>
    <tableColumn id="15" xr3:uid="{95DCA768-192F-4D2F-AF60-D403D97F0A90}" name="Read Throughput (MB/s)" totalsRowFunction="sum" dataDxfId="93" totalsRowDxfId="92"/>
    <tableColumn id="16" xr3:uid="{7CFBE247-7716-47D7-AA1E-43B18DC1B36E}" name="Write Throughput (MB/s)" totalsRowFunction="sum" dataDxfId="91" totalsRowDxfId="90"/>
    <tableColumn id="17" xr3:uid="{8F9E69BE-E9E8-4120-AE08-A4C0F20CA96C}" name="Read IOPS" totalsRowFunction="sum" dataDxfId="89" totalsRowDxfId="88"/>
    <tableColumn id="18" xr3:uid="{5CBE1032-BA84-4C03-ABEB-78D9CDA2B042}" name="Write IOPS" totalsRowFunction="sum" dataDxfId="87" totalsRowDxfId="86"/>
    <tableColumn id="19" xr3:uid="{2D8A81A0-D8E7-4004-809B-3CF8ED76A402}" name="Total Throughput (MB/s)" totalsRowFunction="sum" dataDxfId="85" totalsRowDxfId="84">
      <calculatedColumnFormula>AWRData[[#This Row],[Read Throughput (MB/s)]]+AWRData[[#This Row],[Write Throughput (MB/s)]]</calculatedColumnFormula>
    </tableColumn>
    <tableColumn id="20" xr3:uid="{7DC34EE6-F242-4CF9-ADC1-447D4448E486}" name="Total IOPS" totalsRowFunction="sum" dataDxfId="83" totalsRowDxfId="82">
      <calculatedColumnFormula>AWRData[[#This Row],[Read IOPS]]+AWRData[[#This Row],[Write IOPS]]</calculatedColumnFormula>
    </tableColumn>
    <tableColumn id="21" xr3:uid="{26A3D41C-85CA-4619-9B07-F344CD1EEF71}" name="CPU Total Capacity (sec)" totalsRowFunction="sum" dataDxfId="81" totalsRowDxfId="80">
      <calculatedColumnFormula>(AWRData[[#This Row],[Elapsed Time (mins)]]*60)+AWRData[[#This Row],[CPUs]]</calculatedColumnFormula>
    </tableColumn>
    <tableColumn id="22" xr3:uid="{F3DCD22F-107D-47B2-9CF3-FC53A0FBE19F}" name="Observed Memory Use (GB)" totalsRowFunction="sum" dataDxfId="79" totalsRowDxfId="78">
      <calculatedColumnFormula>(AWRData[[#This Row],[SGA Use (MB)]]+AWRData[[#This Row],[PGA Use (MB)]])/1024</calculatedColumnFormula>
    </tableColumn>
    <tableColumn id="23" xr3:uid="{18C7C344-BE79-4EC2-B878-82E98124EEB6}" name="Source CPU HT Factor" totalsRowFunction="sum" dataDxfId="77" totalsRowDxfId="76">
      <calculatedColumnFormula>AWRData[[#This Row],[CPUs]]/AWRData[[#This Row],[Cores]]</calculatedColumnFormula>
    </tableColumn>
    <tableColumn id="24" xr3:uid="{405C741A-A3FF-4A5F-B0E9-C1B39F550C3D}" name="Average Active Sessions" totalsRowFunction="sum" dataDxfId="75" totalsRowDxfId="74">
      <calculatedColumnFormula>AWRData[[#This Row],[DB Time (mins)]]/AWRData[[#This Row],[Elapsed Time (mins)]]</calculatedColumnFormula>
    </tableColumn>
    <tableColumn id="25" xr3:uid="{9EDF9B89-A879-4BA9-8249-E1ABB9BDD8CF}" name="AWR Report File"/>
    <tableColumn id="26" xr3:uid="{C1A43E91-6BCA-499A-A250-8AC718A7C344}" name="Report Type" dataDxfId="7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2" totalsRowDxfId="71">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0" totalsRowDxfId="69">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8" totalsRowDxfId="67">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6" totalsRowDxfId="65">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4" totalsRowDxfId="63">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2" totalsRowDxfId="61">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0" totalsRowDxfId="59">
      <calculatedColumnFormula>IF(HostSummary[[#This Row],[Host Name]]="","",SUMIFS(AWRData[Observed Memory Use (GB)],AWRData[Host Name],HostSummary[[#This Row],[Host Name]]))</calculatedColumnFormula>
    </tableColumn>
    <tableColumn id="4" xr3:uid="{B81A12B3-0713-49F9-860B-E3B4F37044D1}" name="Observed IOPS" totalsRowFunction="sum" dataDxfId="58" totalsRowDxfId="57">
      <calculatedColumnFormula>IF(HostSummary[[#This Row],[Host Name]]="","",SUMIFS(AWRData[Total IOPS],AWRData[Host Name],HostSummary[[#This Row],[Host Name]]))</calculatedColumnFormula>
    </tableColumn>
    <tableColumn id="5" xr3:uid="{C6EEE4F6-5246-4420-9A71-7B38ACBA606D}" name="Observed Throughput (MB/s)" totalsRowFunction="sum" dataDxfId="56" totalsRowDxfId="55">
      <calculatedColumnFormula>IF(HostSummary[[#This Row],[Host Name]]="","",SUMIFS(AWRData[Total Throughput (MB/s)],AWRData[Host Name],HostSummary[[#This Row],[Host Name]]))</calculatedColumnFormula>
    </tableColumn>
    <tableColumn id="6" xr3:uid="{739F7763-777A-4FAB-97F2-CE8ED97D34D0}" name="Observed vCPUs" totalsRowFunction="sum" dataDxfId="54" totalsRowDxfId="53">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2"/>
    <tableColumn id="1" xr3:uid="{7A983043-6808-45EA-A336-220B8E5A3D1D}" name="DB Name"/>
    <tableColumn id="2" xr3:uid="{92E07AAF-4C20-4F07-8D51-3AB60A9F50B0}" name="%DB Time of Elapsed Time _x000a_(aka Avg Active Sessions or &quot;AAS&quot;)" totalsRowFunction="sum" dataDxfId="51" totalsRowDxfId="50">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49" totalsRowDxfId="48">
      <calculatedColumnFormula>IF(DBSummary[[#This Row],[DB Name]]="","",SUMIFS(AWRData[Observed Memory Use (GB)],AWRData[DB Name],DBSummary[[#This Row],[DB Name]]))</calculatedColumnFormula>
    </tableColumn>
    <tableColumn id="4" xr3:uid="{36214BD1-A664-41F7-96D2-0550E8718EC7}" name="Estimated RAM _x000a_On Azure" totalsRowFunction="sum" dataDxfId="47" totalsRowDxfId="46">
      <calculatedColumnFormula>IF(DBSummary[[#This Row],[DB Name]]="","",DBSummary[[#This Row],[Observed memory 
use (GB)]]*peakRamFactor)</calculatedColumnFormula>
    </tableColumn>
    <tableColumn id="5" xr3:uid="{502B5A16-6862-47EA-9430-E45F1A7FE154}" name="Observed _x000a_IOPS" totalsRowFunction="sum" dataDxfId="45" totalsRowDxfId="44">
      <calculatedColumnFormula>IF(DBSummary[[#This Row],[DB Name]]="","",SUMIFS(AWRData[Total IOPS],AWRData[DB Name],DBSummary[[#This Row],[DB Name]]))</calculatedColumnFormula>
    </tableColumn>
    <tableColumn id="6" xr3:uid="{90D2EE84-2A9A-4511-B8FF-6A454B7B0CCC}" name="Observed _x000a_Throughput _x000a_(MB/s)" totalsRowFunction="sum" dataDxfId="43" totalsRowDxfId="42">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1" totalsRowDxfId="40">
      <calculatedColumnFormula>IF(DBSummary[[#This Row],[DB Name]]="","",DBSummary[[#This Row],[Observed 
IOPS]]*peakIOFactor)</calculatedColumnFormula>
    </tableColumn>
    <tableColumn id="8" xr3:uid="{EAFA3705-FA43-4444-ACD3-26B3AE58AECB}" name="Estimated Throughput (MB/s) _x000a_On Azure for peak load" totalsRowFunction="sum" dataDxfId="39" totalsRowDxfId="38">
      <calculatedColumnFormula>IF(DBSummary[[#This Row],[DB Name]]="","",DBSummary[[#This Row],[Observed 
Throughput 
(MB/s)]]*peakIOFactor)</calculatedColumnFormula>
    </tableColumn>
    <tableColumn id="9" xr3:uid="{48EF9B5A-D482-4DEA-8339-3B3077EF29B9}" name="Observed _x000a_Azure vCPUs" totalsRowFunction="sum" dataDxfId="37" totalsRowDxfId="36">
      <calculatedColumnFormula>IF(DBSummary[[#This Row],[DB Name]]="","",ROUND(SUMIFS(InstSummary[Observed vCPUs],InstSummary[DB Name],DBSummary[[#This Row],[DB Name]])+0.5,0))</calculatedColumnFormula>
    </tableColumn>
    <tableColumn id="10" xr3:uid="{86DFB9D4-448E-4048-8AA0-24D17218788C}" name="Estimated vCPUs _x000a_On Azure _x000a_for peak load" totalsRowFunction="sum" dataDxfId="35" totalsRowDxfId="34">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3" totalsRowDxfId="3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W15" insertRow="1" totalsRowShown="0">
  <autoFilter ref="A14:W15" xr:uid="{24055F50-FE07-4750-ABA9-86938491743C}"/>
  <tableColumns count="23">
    <tableColumn id="6" xr3:uid="{A8A0A25E-EEC2-4F86-91F1-A78596A56247}" name="Azure Server Name"/>
    <tableColumn id="1" xr3:uid="{DB3B0AEF-9E99-40B4-B1EB-DBCE2356ABB1}" name="name"/>
    <tableColumn id="2" xr3:uid="{B954BD9C-735F-4677-B187-8F6CFA85E0AF}" name="size"/>
    <tableColumn id="3" xr3:uid="{DEED157C-54E3-459C-83F0-1690B048FFA9}" name="tier"/>
    <tableColumn id="4" xr3:uid="{038C9217-913A-4F22-B802-919132901DC7}" name="family"/>
    <tableColumn id="7" xr3:uid="{FC6ED0C4-3DC5-4276-BAED-D8E6EE160621}" name="monthlyCost" dataDxfId="31"/>
    <tableColumn id="8" xr3:uid="{F9D34E64-97D3-4F62-8ABD-A6EC4D4577CE}" name="OSVhdSizeMB"/>
    <tableColumn id="9" xr3:uid="{722D958B-1F16-4C14-9BCE-FD461C58B6A1}" name="vCPUs"/>
    <tableColumn id="10" xr3:uid="{31F750BC-B49E-4FAD-AD27-408D970CB282}" name="HyperVGenerations"/>
    <tableColumn id="11" xr3:uid="{BBEF3C53-1C50-4ABA-9E7B-3CFDE468CF9A}" name="MemoryGB"/>
    <tableColumn id="12" xr3:uid="{6A529B04-4C81-4E99-BAA4-581D1FC7C30C}" name="MaxDataDiskCount"/>
    <tableColumn id="16" xr3:uid="{DA6E64CF-2F6A-445E-92B6-55C51D003C3F}" name="PremiumIO"/>
    <tableColumn id="18" xr3:uid="{8ECE39D6-7868-48E0-B75C-8EB51A13F624}" name="vCPUsAvailable"/>
    <tableColumn id="19" xr3:uid="{411A8393-F269-45DC-B9B5-03A6828712C0}" name="vCPUsPerCore"/>
    <tableColumn id="23" xr3:uid="{39EA5413-020D-4F9D-BBE0-366E987CA718}" name="CachedDiskBytes"/>
    <tableColumn id="24" xr3:uid="{778F6D48-2CFA-46AE-A286-C2E5F5314562}" name="UncachedDiskIOPS" dataDxfId="30" dataCellStyle="Comma"/>
    <tableColumn id="25" xr3:uid="{E19556E7-D760-473B-BAA8-CD41C8C13C9D}" name="UncachedDiskMBytesPerSecond" dataDxfId="29"/>
    <tableColumn id="26" xr3:uid="{6442C444-DB6E-4B41-B80E-D391BB4A70DE}" name="EphemeralOSDiskSupported"/>
    <tableColumn id="27" xr3:uid="{3CCEF750-2F9C-4B6A-BFCF-C56E804AC0D6}" name="EncryptionAtHostSupported"/>
    <tableColumn id="28" xr3:uid="{EC428ADB-CA3A-484F-8A50-8003436842BB}" name="CapacityReservationSupported"/>
    <tableColumn id="30" xr3:uid="{3F192D2F-C00D-4B40-88B9-1C59962623AA}" name="AcceleratedNetworkingEnabled"/>
    <tableColumn id="32" xr3:uid="{7539DBD6-7CD0-4CD3-8A09-689F31EA7254}" name="MaxNetworkInterfaces"/>
    <tableColumn id="5" xr3:uid="{37BED883-C0B9-4801-8011-5D91476E4B8F}" name="UltraSSDAvailabl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28"/>
    <tableColumn id="12" xr3:uid="{4AE24669-3CB1-49A1-8393-B3A789B0C3D7}" name="Databases" dataDxfId="27"/>
    <tableColumn id="2" xr3:uid="{A5C93801-DDDD-431B-A77D-F2BFC8CDEA25}" name="%DB Time of Elapsed Time _x000a_(aka Avg Active Sessions or &quot;AAS&quot;)" totalsRowFunction="sum" dataDxfId="26" totalsRowDxfId="25">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4" totalsRowDxfId="23">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2" totalsRowDxfId="21">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20" totalsRowDxfId="19">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18" totalsRowDxfId="17">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16" totalsRowDxfId="15">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4" totalsRowDxfId="13">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2" totalsRowDxfId="11">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10" totalsRowDxfId="9">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8" totalsRowDxfId="7">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J20" insertRow="1" totalsRowShown="0">
  <autoFilter ref="A19:J20"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6" dataCellStyle="Comma"/>
    <tableColumn id="4" xr3:uid="{63F72964-A929-4DD9-A68A-17207AEF999E}" name="Disk Size (GB)/Instance" dataDxfId="5" dataCellStyle="Comma"/>
    <tableColumn id="5" xr3:uid="{E6CE5E8E-D5B9-4AF5-9077-C8BEE6A607C4}" name="Throughput (MB/s)/Instance" dataDxfId="4" dataCellStyle="Comma"/>
    <tableColumn id="7" xr3:uid="{CB82F9F4-6FC2-4133-B345-4A9AC5028B2F}" name="Disk Size (GB)" dataDxfId="3" dataCellStyle="Comma">
      <calculatedColumnFormula>StorageRecommendations[[#This Row],['# of Instances]]*StorageRecommendations[[#This Row],[Disk Size (GB)/Instance]]</calculatedColumnFormula>
    </tableColumn>
    <tableColumn id="8" xr3:uid="{7521CAC3-E725-4CC2-B1E5-DFD4959AE2A5}" name="Throughput (MB/s)" dataDxfId="2" dataCellStyle="Comma">
      <calculatedColumnFormula>StorageRecommendations[[#This Row],['# of Instances]]*StorageRecommendations[[#This Row],[Throughput (MB/s)/Instance]]</calculatedColumnFormula>
    </tableColumn>
    <tableColumn id="9" xr3:uid="{99F4A509-49E6-4CAB-8AEA-D85F15810D38}" name="Cost/Month" dataDxfId="1" dataCellStyle="Comma"/>
    <tableColumn id="10" xr3:uid="{A63D31AA-7E4D-4635-AA50-5B9DB883453B}" name="Notes" dataDxfId="0"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Them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zoomScaleNormal="100" workbookViewId="0">
      <selection activeCell="R10" sqref="R10"/>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9" t="s">
        <v>159</v>
      </c>
      <c r="C1" s="19"/>
      <c r="D1" s="19"/>
      <c r="E1" s="19"/>
      <c r="F1" s="19"/>
      <c r="G1" s="19"/>
      <c r="H1" s="19"/>
      <c r="I1" s="19"/>
      <c r="J1" s="19"/>
      <c r="K1" s="19"/>
      <c r="L1" s="19"/>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173</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9" t="s">
        <v>160</v>
      </c>
      <c r="C7" s="19"/>
      <c r="D7" s="19"/>
      <c r="E7" s="19"/>
      <c r="F7" s="19"/>
      <c r="G7" s="19"/>
      <c r="H7" s="19"/>
      <c r="I7" s="19"/>
      <c r="J7" s="19"/>
      <c r="K7" s="19"/>
      <c r="L7" s="19"/>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9" t="s">
        <v>161</v>
      </c>
      <c r="C13" s="19"/>
      <c r="D13" s="19"/>
      <c r="E13" s="19"/>
      <c r="F13" s="19"/>
      <c r="G13" s="19"/>
      <c r="H13" s="19"/>
      <c r="I13" s="19"/>
      <c r="J13" s="19"/>
      <c r="K13" s="19"/>
      <c r="L13" s="19"/>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9" t="s">
        <v>172</v>
      </c>
      <c r="C19" s="19"/>
      <c r="D19" s="19"/>
      <c r="E19" s="19"/>
      <c r="F19" s="19"/>
      <c r="G19" s="19"/>
      <c r="H19" s="19"/>
      <c r="I19" s="19"/>
      <c r="J19" s="19"/>
      <c r="K19" s="19"/>
      <c r="L19" s="19"/>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Name]]="","",ROUND(SUMIFS(InstSummary[Observed vCPUs],InstSummary[DB Name],DBSummary[[#This Row],[DB Name]])+0.5,0))</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2"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abSelected="1" topLeftCell="A7" workbookViewId="0">
      <pane xSplit="2" topLeftCell="C1" activePane="topRight" state="frozenSplit"/>
      <selection pane="topRight" activeCell="C18" sqref="C18:J18"/>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20"/>
      <c r="B1" s="20"/>
      <c r="C1" s="12"/>
      <c r="D1" s="8"/>
      <c r="E1" s="8"/>
      <c r="F1" s="8"/>
      <c r="G1" s="8"/>
      <c r="H1" s="8"/>
      <c r="I1" s="8"/>
      <c r="J1" s="8"/>
      <c r="K1" s="8"/>
    </row>
    <row r="2" spans="1:100" s="7" customFormat="1" ht="93" customHeight="1" x14ac:dyDescent="0.25">
      <c r="A2" s="20"/>
      <c r="B2" s="20"/>
      <c r="C2" s="8"/>
      <c r="D2" s="8"/>
      <c r="E2" s="8"/>
      <c r="F2" s="8"/>
      <c r="G2" s="8"/>
      <c r="H2" s="8"/>
      <c r="I2" s="8"/>
      <c r="J2" s="8"/>
      <c r="K2" s="8"/>
    </row>
    <row r="3" spans="1:100" ht="18.75" x14ac:dyDescent="0.3">
      <c r="A3" s="1"/>
    </row>
    <row r="4" spans="1:100" ht="36.75" customHeight="1" x14ac:dyDescent="0.25">
      <c r="A4" s="26" t="s">
        <v>87</v>
      </c>
      <c r="B4" s="26"/>
      <c r="C4" s="25"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5"/>
      <c r="E4" s="25"/>
      <c r="F4" s="25"/>
      <c r="G4" s="25"/>
      <c r="H4" s="25"/>
      <c r="I4" s="25"/>
      <c r="J4" s="25"/>
      <c r="K4" s="25"/>
      <c r="L4" s="25"/>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3" t="s">
        <v>190</v>
      </c>
      <c r="D6" s="23"/>
      <c r="E6" s="23"/>
      <c r="F6" s="23"/>
      <c r="G6" s="23"/>
      <c r="H6" s="23"/>
      <c r="I6" s="23"/>
      <c r="J6" s="23"/>
      <c r="K6" s="23"/>
      <c r="L6" s="23"/>
    </row>
    <row r="7" spans="1:100" ht="60" x14ac:dyDescent="0.25">
      <c r="A7" t="s">
        <v>64</v>
      </c>
      <c r="B7" t="s">
        <v>164</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1" t="s">
        <v>165</v>
      </c>
      <c r="B12" s="21"/>
      <c r="C12" s="22" t="s">
        <v>163</v>
      </c>
      <c r="D12" s="22"/>
      <c r="E12" s="22"/>
      <c r="F12" s="22"/>
      <c r="G12" s="22"/>
      <c r="H12" s="22"/>
      <c r="I12" s="22"/>
      <c r="J12" s="22"/>
      <c r="K12" s="22"/>
      <c r="L12" s="22"/>
      <c r="M12" s="22"/>
      <c r="N12" s="22"/>
      <c r="O12" s="22"/>
      <c r="P12" s="22"/>
      <c r="Q12" s="22"/>
      <c r="R12" s="22"/>
      <c r="S12" s="22"/>
      <c r="T12" s="22"/>
      <c r="U12" s="22"/>
      <c r="V12" s="22"/>
      <c r="W12" s="22"/>
      <c r="X12"/>
      <c r="Y12"/>
      <c r="Z12"/>
    </row>
    <row r="13" spans="1:100" x14ac:dyDescent="0.25">
      <c r="A13" s="21"/>
      <c r="B13" s="21"/>
      <c r="C13" s="22"/>
      <c r="D13" s="22"/>
      <c r="E13" s="22"/>
      <c r="F13" s="22"/>
      <c r="G13" s="22"/>
      <c r="H13" s="22"/>
      <c r="I13" s="22"/>
      <c r="J13" s="22"/>
      <c r="K13" s="22"/>
      <c r="L13" s="22"/>
      <c r="M13" s="22"/>
      <c r="N13" s="22"/>
      <c r="O13" s="22"/>
      <c r="P13" s="22"/>
      <c r="Q13" s="22"/>
      <c r="R13" s="22"/>
      <c r="S13" s="22"/>
      <c r="T13" s="22"/>
      <c r="U13" s="22"/>
      <c r="V13" s="22"/>
      <c r="W13" s="22"/>
      <c r="X13"/>
      <c r="Y13"/>
      <c r="Z13"/>
    </row>
    <row r="14" spans="1:100" x14ac:dyDescent="0.25">
      <c r="A14" t="s">
        <v>64</v>
      </c>
      <c r="B14" t="s">
        <v>43</v>
      </c>
      <c r="C14" t="s">
        <v>44</v>
      </c>
      <c r="D14" t="s">
        <v>45</v>
      </c>
      <c r="E14" t="s">
        <v>46</v>
      </c>
      <c r="F14" t="s">
        <v>88</v>
      </c>
      <c r="G14" t="s">
        <v>47</v>
      </c>
      <c r="H14" t="s">
        <v>48</v>
      </c>
      <c r="I14" t="s">
        <v>49</v>
      </c>
      <c r="J14" t="s">
        <v>50</v>
      </c>
      <c r="K14" t="s">
        <v>51</v>
      </c>
      <c r="L14" t="s">
        <v>52</v>
      </c>
      <c r="M14" t="s">
        <v>53</v>
      </c>
      <c r="N14" t="s">
        <v>54</v>
      </c>
      <c r="O14" t="s">
        <v>55</v>
      </c>
      <c r="P14" t="s">
        <v>56</v>
      </c>
      <c r="Q14" t="s">
        <v>191</v>
      </c>
      <c r="R14" t="s">
        <v>58</v>
      </c>
      <c r="S14" t="s">
        <v>59</v>
      </c>
      <c r="T14" t="s">
        <v>60</v>
      </c>
      <c r="U14" t="s">
        <v>61</v>
      </c>
      <c r="V14" t="s">
        <v>62</v>
      </c>
      <c r="W14" t="s">
        <v>63</v>
      </c>
      <c r="CV14" s="6"/>
    </row>
    <row r="15" spans="1:100" x14ac:dyDescent="0.25">
      <c r="F15" s="16"/>
      <c r="P15" s="17"/>
      <c r="Q15" s="18"/>
      <c r="W15"/>
      <c r="CV15" s="6"/>
    </row>
    <row r="17" spans="1:22" ht="18.75" x14ac:dyDescent="0.3">
      <c r="A17" s="1"/>
    </row>
    <row r="18" spans="1:22" ht="18.75" x14ac:dyDescent="0.3">
      <c r="A18" s="24" t="s">
        <v>82</v>
      </c>
      <c r="B18" s="24"/>
      <c r="C18" s="24"/>
      <c r="D18" s="24"/>
      <c r="E18" s="24"/>
      <c r="F18" s="24"/>
      <c r="G18" s="24"/>
      <c r="H18" s="24"/>
      <c r="I18" s="24"/>
      <c r="J18" s="24"/>
      <c r="K18" s="1"/>
      <c r="L18" s="1"/>
      <c r="M18" s="1"/>
      <c r="N18" s="1"/>
      <c r="O18" s="1"/>
      <c r="P18" s="1"/>
      <c r="Q18" s="1"/>
      <c r="R18" s="1"/>
      <c r="S18" s="1"/>
      <c r="T18" s="1"/>
      <c r="U18" s="1"/>
      <c r="V18" s="1"/>
    </row>
    <row r="19" spans="1:22" x14ac:dyDescent="0.25">
      <c r="A19" t="s">
        <v>64</v>
      </c>
      <c r="B19" t="s">
        <v>76</v>
      </c>
      <c r="C19" t="s">
        <v>175</v>
      </c>
      <c r="D19" t="s">
        <v>77</v>
      </c>
      <c r="E19" t="s">
        <v>78</v>
      </c>
      <c r="F19" t="s">
        <v>79</v>
      </c>
      <c r="G19" t="s">
        <v>80</v>
      </c>
      <c r="H19" t="s">
        <v>81</v>
      </c>
      <c r="I19" t="s">
        <v>162</v>
      </c>
      <c r="J19" t="s">
        <v>192</v>
      </c>
    </row>
    <row r="20" spans="1:22" x14ac:dyDescent="0.25">
      <c r="D20" s="13"/>
      <c r="E20" s="13"/>
      <c r="F20" s="13"/>
      <c r="G20" s="13"/>
      <c r="H20" s="13"/>
      <c r="I20" s="15"/>
      <c r="J20" s="13"/>
    </row>
  </sheetData>
  <mergeCells count="8">
    <mergeCell ref="A1:B2"/>
    <mergeCell ref="A12:B13"/>
    <mergeCell ref="C12:W13"/>
    <mergeCell ref="C6:L6"/>
    <mergeCell ref="A18:B18"/>
    <mergeCell ref="C4:L4"/>
    <mergeCell ref="A4:B4"/>
    <mergeCell ref="C18:J18"/>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168</v>
      </c>
      <c r="B8">
        <v>0</v>
      </c>
    </row>
    <row r="9" spans="1:2" x14ac:dyDescent="0.25">
      <c r="A9" t="s">
        <v>174</v>
      </c>
      <c r="B9">
        <v>1000</v>
      </c>
    </row>
    <row r="10" spans="1:2" x14ac:dyDescent="0.25">
      <c r="A10" t="s">
        <v>169</v>
      </c>
      <c r="B10" s="14">
        <v>0.7</v>
      </c>
    </row>
    <row r="11" spans="1:2" x14ac:dyDescent="0.25">
      <c r="A11" t="s">
        <v>170</v>
      </c>
      <c r="B11" s="3">
        <v>1.5</v>
      </c>
    </row>
    <row r="12" spans="1:2" x14ac:dyDescent="0.25">
      <c r="A12" t="s">
        <v>171</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166</v>
      </c>
      <c r="I1" t="s">
        <v>48</v>
      </c>
      <c r="J1" t="s">
        <v>53</v>
      </c>
      <c r="K1" t="s">
        <v>54</v>
      </c>
      <c r="L1" t="s">
        <v>176</v>
      </c>
      <c r="M1" t="s">
        <v>177</v>
      </c>
      <c r="N1" t="s">
        <v>178</v>
      </c>
      <c r="O1" t="s">
        <v>179</v>
      </c>
      <c r="P1" t="s">
        <v>180</v>
      </c>
      <c r="Q1" t="s">
        <v>181</v>
      </c>
      <c r="R1" t="s">
        <v>182</v>
      </c>
      <c r="S1" t="s">
        <v>183</v>
      </c>
      <c r="T1" t="s">
        <v>184</v>
      </c>
      <c r="U1" t="s">
        <v>185</v>
      </c>
      <c r="V1" t="s">
        <v>186</v>
      </c>
      <c r="W1" t="s">
        <v>187</v>
      </c>
      <c r="X1" t="s">
        <v>188</v>
      </c>
      <c r="Y1" t="s">
        <v>189</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167</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2023-06-23T00:42:47Z</dcterms:modified>
</cp:coreProperties>
</file>