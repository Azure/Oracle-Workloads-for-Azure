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Projects/oracle-migration-assessment/"/>
    </mc:Choice>
  </mc:AlternateContent>
  <xr:revisionPtr revIDLastSave="58" documentId="8_{B9736492-91AE-44B9-A3D5-969CD10F0B74}" xr6:coauthVersionLast="47" xr6:coauthVersionMax="47" xr10:uidLastSave="{6BC22004-2ABE-4CB3-B779-6676818B9E62}"/>
  <bookViews>
    <workbookView xWindow="1560" yWindow="1560" windowWidth="43200" windowHeight="12645" activeTab="1"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 l="1"/>
  <c r="J23" i="1" s="1"/>
  <c r="C4" i="5"/>
  <c r="L8" i="5"/>
  <c r="L9" i="5" s="1"/>
  <c r="K8" i="5"/>
  <c r="K9" i="5" s="1"/>
  <c r="J8" i="5"/>
  <c r="J9" i="5" s="1"/>
  <c r="I8" i="5"/>
  <c r="I9" i="5" s="1"/>
  <c r="H8" i="5"/>
  <c r="H9" i="5" s="1"/>
  <c r="G8" i="5"/>
  <c r="G9" i="5" s="1"/>
  <c r="F8" i="5"/>
  <c r="F9" i="5" s="1"/>
  <c r="E8" i="5"/>
  <c r="E9" i="5" s="1"/>
  <c r="D8" i="5"/>
  <c r="D9" i="5" s="1"/>
  <c r="C8" i="5"/>
  <c r="C9" i="5" s="1"/>
  <c r="L23" i="1"/>
  <c r="I23" i="1"/>
  <c r="H23" i="1"/>
  <c r="G23" i="1"/>
  <c r="F23" i="1"/>
  <c r="E23" i="1"/>
  <c r="D23" i="1"/>
  <c r="C23" i="1"/>
  <c r="K22" i="1"/>
  <c r="K23" i="1" s="1"/>
  <c r="I22" i="1"/>
  <c r="H22" i="1"/>
  <c r="G22" i="1"/>
  <c r="F22" i="1"/>
  <c r="E22" i="1"/>
  <c r="D22" i="1"/>
  <c r="C22" i="1"/>
  <c r="F17" i="1"/>
  <c r="E17" i="1"/>
  <c r="D17" i="1"/>
  <c r="C17" i="1"/>
  <c r="B17" i="1"/>
  <c r="F16" i="1"/>
  <c r="E16" i="1"/>
  <c r="D16" i="1"/>
  <c r="C16" i="1"/>
  <c r="B16" i="1"/>
  <c r="G11" i="1"/>
  <c r="F11" i="1"/>
  <c r="E11" i="1"/>
  <c r="D11" i="1"/>
  <c r="C11" i="1"/>
  <c r="G10" i="1"/>
  <c r="F10" i="1"/>
  <c r="E10" i="1"/>
  <c r="D10" i="1"/>
  <c r="C10" i="1"/>
  <c r="X5" i="1"/>
  <c r="W5" i="1"/>
  <c r="V5" i="1"/>
  <c r="U5" i="1"/>
  <c r="T5" i="1"/>
  <c r="S5" i="1"/>
  <c r="R5" i="1"/>
  <c r="Q5" i="1"/>
  <c r="P5" i="1"/>
  <c r="O5" i="1"/>
  <c r="N5" i="1"/>
  <c r="M5" i="1"/>
  <c r="L5" i="1"/>
  <c r="K5" i="1"/>
  <c r="J5" i="1"/>
  <c r="I5" i="1"/>
  <c r="H5" i="1"/>
  <c r="G5" i="1"/>
  <c r="F5" i="1"/>
  <c r="X4" i="1"/>
  <c r="W4" i="1"/>
  <c r="V4" i="1"/>
  <c r="U4" i="1"/>
  <c r="T4" i="1"/>
  <c r="S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<sst xmlns="http://schemas.openxmlformats.org/spreadsheetml/2006/main" count="237" uniqueCount="193">
  <si>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</si>
  <si>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</si>
  <si>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</si>
  <si>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</si>
  <si>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</si>
  <si>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</si>
  <si>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</si>
  <si>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</si>
  <si>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</si>
  <si>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</si>
  <si>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</si>
  <si>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</si>
  <si>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</si>
  <si>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</si>
  <si>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</si>
  <si>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</si>
  <si>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</si>
  <si>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</si>
  <si>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</si>
  <si>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</si>
  <si>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</si>
  <si>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</si>
  <si>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</si>
  <si>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</si>
  <si>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</si>
  <si>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</si>
  <si>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</si>
  <si>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</si>
  <si>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</si>
  <si>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</si>
  <si>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</si>
  <si>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</si>
  <si>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</si>
  <si>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</si>
  <si>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</si>
  <si>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</si>
  <si>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</si>
  <si>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</si>
  <si>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</si>
  <si>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</si>
  <si>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</si>
  <si>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</si>
  <si>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</si>
  <si>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</si>
  <si>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</si>
  <si>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</si>
  <si>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</si>
  <si>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</si>
  <si>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</si>
  <si>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</si>
  <si>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</si>
  <si>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</si>
  <si>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</si>
  <si>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</si>
  <si>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</si>
  <si>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</si>
  <si>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</si>
  <si>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</si>
  <si>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</si>
  <si>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</si>
  <si>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</si>
  <si>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</si>
  <si>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</si>
  <si>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</si>
  <si>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</si>
  <si>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</si>
  <si>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</si>
  <si>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</si>
  <si>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</si>
  <si>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</si>
  <si>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</si>
  <si>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</si>
  <si>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</si>
  <si>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</si>
  <si>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</si>
  <si>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</si>
  <si>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</si>
  <si>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</si>
  <si>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</si>
  <si>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</si>
  <si>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</si>
  <si>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</si>
  <si>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</si>
  <si>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</si>
  <si>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</si>
  <si>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</si>
  <si>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</si>
  <si>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</si>
  <si>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</si>
  <si>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</si>
  <si>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</si>
  <si>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</si>
  <si>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</si>
  <si>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</si>
  <si>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</si>
  <si>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</si>
  <si>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</si>
  <si>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</si>
  <si>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</si>
  <si>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</si>
  <si>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</si>
  <si>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</si>
  <si>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</si>
  <si>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</si>
  <si>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</si>
  <si>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</si>
  <si>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</si>
  <si>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</si>
  <si>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</si>
  <si>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</si>
  <si>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</si>
  <si>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</si>
  <si>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</si>
  <si>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</si>
  <si>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</si>
  <si>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</si>
  <si>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</si>
  <si>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</si>
  <si>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</si>
  <si>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</si>
  <si>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</si>
  <si>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</si>
  <si>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</si>
  <si>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</si>
  <si>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</si>
  <si>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</si>
  <si>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</si>
  <si>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</si>
  <si>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</si>
  <si>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</si>
  <si>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</si>
  <si>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</si>
  <si>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</si>
  <si>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</si>
  <si>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</si>
  <si>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</si>
  <si>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</si>
  <si>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</si>
  <si>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</si>
  <si>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</si>
  <si>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</si>
  <si>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</si>
  <si>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</si>
  <si>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</si>
  <si>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</si>
  <si>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</si>
  <si>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</si>
  <si>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</si>
  <si>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</si>
  <si>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</si>
  <si>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</si>
  <si>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</si>
  <si>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</si>
  <si>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</si>
  <si>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</si>
  <si>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</si>
  <si>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availabilityId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</si>
  <si>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</si>
  <si>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</si>
  <si>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</si>
  <si>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</si>
  <si>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</si>
  <si>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</si>
  <si>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</si>
  <si>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</si>
  <si>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</si>
  <si>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</si>
  <si>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</si>
  <si>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</si>
  <si>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</si>
  <si>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</si>
  <si>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</si>
  <si>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</si>
  <si>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</si>
  <si>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</si>
  <si>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</si>
  <si>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</si>
  <si>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</si>
  <si>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</si>
  <si>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</si>
  <si>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</si>
  <si>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</si>
  <si>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</si>
  <si>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</si>
  <si>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</si>
  <si>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</si>
  <si>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</si>
  <si>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</si>
  <si>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</si>
  <si>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</si>
  <si>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</si>
  <si>
    <t>Notes</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</si>
  <si>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Managed Disk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(Managed Disk or NAS).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</si>
</sst>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409]#,##0"/>
    <numFmt numFmtId="167" formatCode="#,##0,,"/>
    <numFmt numFmtId="168" formatCode="&quot;$&quot;#,##0"/>
  </numFmts>
  <fonts count="6"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3">
    <xf numFmtId="0" fontId="0" fillId="0" borderId="0"/>
    <xf numFmtId="164" fontId="3" fillId="0" borderId="0" applyFont="0" applyFill="0" applyBorder="0" applyAlignment="0" applyProtection="0"/>
    <xf numFmtId="9" fontId="3" fillId="0" borderId="0" applyFont="0" applyFill="0" applyBorder="0" applyAlignment="0" applyProtection="0"/>
  </cellStyleXfs>
  <cellXfs count="26">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5" fontId="0" fillId="0" borderId="0" xfId="1" applyNumberFormat="1" applyFont="1"/>
    <xf numFmtId="9" fontId="0" fillId="0" borderId="0" xfId="2" applyFont="1"/>
    <xf numFmtId="166" fontId="0" fillId="0" borderId="0" xfId="1" applyNumberFormat="1" applyFont="1"/>
    <xf numFmtId="167" fontId="0" fillId="0" borderId="0" xfId="0" applyNumberFormat="1"/>
    <xf numFmtId="168" fontId="0" fillId="0" borderId="0" xfId="0" applyNumberFormat="1"/>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xf numFmtId="0" fontId="0" fillId="2" borderId="0" xfId="0" applyFill="1" applyAlignment="1">
      <alignment horizontal="left" vertical="top" wrapText="1"/>
    </xf>
  </cellXfs>
  <cellStyles count="3">
    <cellStyle name="Comma" xfId="1" builtinId="3"/>
    <cellStyle name="Normal" xfId="0" builtinId="0"/>
    <cellStyle name="Percent" xfId="2" builtinId="5"/>
  </cellStyles>
  <dxfs count="114">
    <dxf>
      <numFmt numFmtId="165" formatCode="_(* #,##0_);_(* \(#,##0\);_(* &quot;-&quot;??_);_(@_)"/>
    </dxf>
    <dxf>
      <numFmt numFmtId="166" formatCode="[$$-409]#,##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4" formatCode="#,##0.00"/>
    </dxf>
    <dxf>
      <numFmt numFmtId="3" formatCode="#,##0"/>
    </dxf>
    <dxf>
      <numFmt numFmtId="3" formatCode="#,##0"/>
    </dxf>
    <dxf>
      <numFmt numFmtId="167" formatCode="#,##0,,"/>
    </dxf>
    <dxf>
      <numFmt numFmtId="3" formatCode="#,##0"/>
    </dxf>
    <dxf>
      <numFmt numFmtId="3" formatCode="#,##0"/>
    </dxf>
    <dxf>
      <numFmt numFmtId="168" formatCode="&quot;$&quot;#,##0"/>
    </dxf>
    <dxf>
      <numFmt numFmtId="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fgColor indexed="64"/>
          <bgColor rgb="FFFF7C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23" Type="http://schemas.microsoft.com/office/2006/relationships/vbaProject" Target="vbaProject.bin"/><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5" totalsRowCount="1">
  <autoFilter ref="A3:Z4"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2" totalsRowDxfId="111"/>
    <tableColumn id="7" xr3:uid="{2AA813B1-C2C9-4C0D-951A-F33C6F780A46}" name="DB Time (mins)" totalsRowFunction="sum" dataDxfId="110" totalsRowDxfId="109"/>
    <tableColumn id="8" xr3:uid="{1357CE89-D2D8-4B0D-ADB4-4726A8A9357B}" name="DB CPU" totalsRowFunction="sum" dataDxfId="108" totalsRowDxfId="107"/>
    <tableColumn id="9" xr3:uid="{A0BD86B8-EC6A-4379-95AD-4C3A0AF21023}" name="CPUs" totalsRowFunction="sum" dataDxfId="106" totalsRowDxfId="105"/>
    <tableColumn id="10" xr3:uid="{86C2D852-3F34-4445-AA1E-E70EC6A527F3}" name="Cores" totalsRowFunction="sum" dataDxfId="104" totalsRowDxfId="103"/>
    <tableColumn id="11" xr3:uid="{643C3C65-26DC-4A21-B74B-385B8CB6B167}" name="Memory (GB)" totalsRowFunction="sum" dataDxfId="102" totalsRowDxfId="101"/>
    <tableColumn id="12" xr3:uid="{8C782AAD-F0F2-4790-BD63-006D2350277D}" name="% Busy CPU" totalsRowFunction="sum" dataDxfId="100" totalsRowDxfId="99"/>
    <tableColumn id="13" xr3:uid="{4F188F55-0B0F-440E-99D5-D60CBA42682C}" name="SGA Use (MB)" totalsRowFunction="sum" dataDxfId="98" totalsRowDxfId="97"/>
    <tableColumn id="14" xr3:uid="{24D979AD-9CC1-42B5-9B8D-CD03F9E2DC80}" name="PGA Use (MB)" totalsRowFunction="sum" dataDxfId="96" totalsRowDxfId="95"/>
    <tableColumn id="15" xr3:uid="{95DCA768-192F-4D2F-AF60-D403D97F0A90}" name="Read Throughput (MB/s)" totalsRowFunction="sum" dataDxfId="94" totalsRowDxfId="93"/>
    <tableColumn id="16" xr3:uid="{7CFBE247-7716-47D7-AA1E-43B18DC1B36E}" name="Write Throughput (MB/s)" totalsRowFunction="sum" dataDxfId="92" totalsRowDxfId="91"/>
    <tableColumn id="17" xr3:uid="{8F9E69BE-E9E8-4120-AE08-A4C0F20CA96C}" name="Read IOPS" totalsRowFunction="sum" dataDxfId="90" totalsRowDxfId="89"/>
    <tableColumn id="18" xr3:uid="{5CBE1032-BA84-4C03-ABEB-78D9CDA2B042}" name="Write IOPS" totalsRowFunction="sum" dataDxfId="88" totalsRowDxfId="87"/>
    <tableColumn id="19" xr3:uid="{2D8A81A0-D8E7-4004-809B-3CF8ED76A402}" name="Total Throughput (MB/s)" totalsRowFunction="sum" dataDxfId="86" totalsRowDxfId="85">
      <calculatedColumnFormula>AWRData[[#This Row],[Read Throughput (MB/s)]]+AWRData[[#This Row],[Write Throughput (MB/s)]]</calculatedColumnFormula>
    </tableColumn>
    <tableColumn id="20" xr3:uid="{7DC34EE6-F242-4CF9-ADC1-447D4448E486}" name="Total IOPS" totalsRowFunction="sum" dataDxfId="84" totalsRowDxfId="83">
      <calculatedColumnFormula>AWRData[[#This Row],[Read IOPS]]+AWRData[[#This Row],[Write IOPS]]</calculatedColumnFormula>
    </tableColumn>
    <tableColumn id="21" xr3:uid="{26A3D41C-85CA-4619-9B07-F344CD1EEF71}" name="CPU Total Capacity (sec)" totalsRowFunction="sum" dataDxfId="82" totalsRowDxfId="81">
      <calculatedColumnFormula>(AWRData[[#This Row],[Elapsed Time (mins)]]*60)+AWRData[[#This Row],[CPUs]]</calculatedColumnFormula>
    </tableColumn>
    <tableColumn id="22" xr3:uid="{F3DCD22F-107D-47B2-9CF3-FC53A0FBE19F}" name="Observed Memory Use (GB)" totalsRowFunction="sum" dataDxfId="80" totalsRowDxfId="79">
      <calculatedColumnFormula>(AWRData[[#This Row],[SGA Use (MB)]]+AWRData[[#This Row],[PGA Use (MB)]])/1024</calculatedColumnFormula>
    </tableColumn>
    <tableColumn id="23" xr3:uid="{18C7C344-BE79-4EC2-B878-82E98124EEB6}" name="Source CPU HT Factor" totalsRowFunction="sum" dataDxfId="78" totalsRowDxfId="77">
      <calculatedColumnFormula>AWRData[[#This Row],[CPUs]]/AWRData[[#This Row],[Cores]]</calculatedColumnFormula>
    </tableColumn>
    <tableColumn id="24" xr3:uid="{405C741A-A3FF-4A5F-B0E9-C1B39F550C3D}" name="Average Active Sessions" totalsRowFunction="sum" dataDxfId="76" totalsRowDxfId="75">
      <calculatedColumnFormula>AWRData[[#This Row],[DB Time (mins)]]/AWRData[[#This Row],[Elapsed Time (mins)]]</calculatedColumnFormula>
    </tableColumn>
    <tableColumn id="25" xr3:uid="{9EDF9B89-A879-4BA9-8249-E1ABB9BDD8CF}" name="AWR Report File"/>
    <tableColumn id="26" xr3:uid="{C1A43E91-6BCA-499A-A250-8AC718A7C344}" name="Report Type" dataDxfId="7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9:G11" totalsRowCount="1">
  <autoFilter ref="A9:G10"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3" totalsRowDxfId="72">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71" totalsRowDxfId="70">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69" totalsRowDxfId="68">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7" totalsRowDxfId="66">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5" totalsRowDxfId="64">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15:F17" totalsRowCount="1">
  <autoFilter ref="A15:F16"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3" totalsRowDxfId="62">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61" totalsRowDxfId="60">
      <calculatedColumnFormula>IF(HostSummary[[#This Row],[Host Name]]="","",SUMIFS(AWRData[Observed Memory Use (GB)],AWRData[Host Name],HostSummary[[#This Row],[Host Name]]))</calculatedColumnFormula>
    </tableColumn>
    <tableColumn id="4" xr3:uid="{B81A12B3-0713-49F9-860B-E3B4F37044D1}" name="Observed IOPS" totalsRowFunction="sum" dataDxfId="59" totalsRowDxfId="58">
      <calculatedColumnFormula>IF(HostSummary[[#This Row],[Host Name]]="","",SUMIFS(AWRData[Total IOPS],AWRData[Host Name],HostSummary[[#This Row],[Host Name]]))</calculatedColumnFormula>
    </tableColumn>
    <tableColumn id="5" xr3:uid="{C6EEE4F6-5246-4420-9A71-7B38ACBA606D}" name="Observed Throughput (MB/s)" totalsRowFunction="sum" dataDxfId="57" totalsRowDxfId="56">
      <calculatedColumnFormula>IF(HostSummary[[#This Row],[Host Name]]="","",SUMIFS(AWRData[Total Throughput (MB/s)],AWRData[Host Name],HostSummary[[#This Row],[Host Name]]))</calculatedColumnFormula>
    </tableColumn>
    <tableColumn id="6" xr3:uid="{739F7763-777A-4FAB-97F2-CE8ED97D34D0}" name="Observed vCPUs" totalsRowFunction="sum" dataDxfId="55" totalsRowDxfId="54">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21:L23" totalsRowCount="1">
  <autoFilter ref="A21:L22" xr:uid="{D3B0BE37-05C6-4A02-98D0-4AD1239441E5}"/>
  <tableColumns count="12">
    <tableColumn id="11" xr3:uid="{CACD3033-22EB-4205-9E47-C2FA2355E2B2}" name="Azure Server Name" totalsRowLabel="Total" dataDxfId="53"/>
    <tableColumn id="1" xr3:uid="{7A983043-6808-45EA-A336-220B8E5A3D1D}" name="DB Name"/>
    <tableColumn id="2" xr3:uid="{92E07AAF-4C20-4F07-8D51-3AB60A9F50B0}" name="%DB Time of Elapsed Time _x000a_(aka Avg Active Sessions or &quot;AAS&quot;)" totalsRowFunction="sum" dataDxfId="52" totalsRowDxfId="51">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50" totalsRowDxfId="49">
      <calculatedColumnFormula>IF(DBSummary[[#This Row],[DB Name]]="","",SUMIFS(AWRData[Observed Memory Use (GB)],AWRData[DB Name],DBSummary[[#This Row],[DB Name]]))</calculatedColumnFormula>
    </tableColumn>
    <tableColumn id="4" xr3:uid="{36214BD1-A664-41F7-96D2-0550E8718EC7}" name="Estimated RAM _x000a_On Azure" totalsRowFunction="sum" dataDxfId="48" totalsRowDxfId="47">
      <calculatedColumnFormula>IF(DBSummary[[#This Row],[DB Name]]="","",DBSummary[[#This Row],[Observed memory 
use (GB)]]*peakRamFactor)</calculatedColumnFormula>
    </tableColumn>
    <tableColumn id="5" xr3:uid="{502B5A16-6862-47EA-9430-E45F1A7FE154}" name="Observed _x000a_IOPS" totalsRowFunction="sum" dataDxfId="46" totalsRowDxfId="45">
      <calculatedColumnFormula>IF(DBSummary[[#This Row],[DB Name]]="","",SUMIFS(AWRData[Total IOPS],AWRData[DB Name],DBSummary[[#This Row],[DB Name]]))</calculatedColumnFormula>
    </tableColumn>
    <tableColumn id="6" xr3:uid="{90D2EE84-2A9A-4511-B8FF-6A454B7B0CCC}" name="Observed _x000a_Throughput _x000a_(MB/s)" totalsRowFunction="sum" dataDxfId="44" totalsRowDxfId="43">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2" totalsRowDxfId="41">
      <calculatedColumnFormula>IF(DBSummary[[#This Row],[DB Name]]="","",DBSummary[[#This Row],[Observed 
IOPS]]*peakIOFactor)</calculatedColumnFormula>
    </tableColumn>
    <tableColumn id="8" xr3:uid="{EAFA3705-FA43-4444-ACD3-26B3AE58AECB}" name="Estimated Throughput (MB/s) _x000a_On Azure for peak load" totalsRowFunction="sum" dataDxfId="40" totalsRowDxfId="39">
      <calculatedColumnFormula>IF(DBSummary[[#This Row],[DB Name]]="","",DBSummary[[#This Row],[Observed 
Throughput 
(MB/s)]]*peakIOFactor)</calculatedColumnFormula>
    </tableColumn>
    <tableColumn id="9" xr3:uid="{48EF9B5A-D482-4DEA-8339-3B3077EF29B9}" name="Observed _x000a_Azure vCPUs" totalsRowFunction="sum" dataDxfId="38" totalsRowDxfId="37">
      <calculatedColumnFormula>IF(DBSummary[[#This Row],[DB Name]]="","",SUMIFS(InstSummary[Observed vCPUs],InstSummary[DB Name],DBSummary[[#This Row],[DB Name]]))</calculatedColumnFormula>
    </tableColumn>
    <tableColumn id="10" xr3:uid="{86DFB9D4-448E-4048-8AA0-24D17218788C}" name="Estimated vCPUs _x000a_On Azure _x000a_for peak load" totalsRowFunction="sum" dataDxfId="36" totalsRowDxfId="35">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34" totalsRowDxfId="3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L15" insertRow="1" totalsRowShown="0">
  <autoFilter ref="A14:L15" xr:uid="{24055F50-FE07-4750-ABA9-86938491743C}"/>
  <tableColumns count="12">
    <tableColumn id="6" xr3:uid="{A8A0A25E-EEC2-4F86-91F1-A78596A56247}" name="Azure Server Name"/>
    <tableColumn id="1" xr3:uid="{DB3B0AEF-9E99-40B4-B1EB-DBCE2356ABB1}" name="name"/>
    <tableColumn id="2" xr3:uid="{B954BD9C-735F-4677-B187-8F6CFA85E0AF}" name="monthlyCost" dataDxfId="32"/>
    <tableColumn id="3" xr3:uid="{DEED157C-54E3-459C-83F0-1690B048FFA9}" name="vCPUs"/>
    <tableColumn id="4" xr3:uid="{038C9217-913A-4F22-B802-919132901DC7}" name="MemoryGB" dataDxfId="31"/>
    <tableColumn id="7" xr3:uid="{FC6ED0C4-3DC5-4276-BAED-D8E6EE160621}" name="UncachedDiskIOPS" dataDxfId="30"/>
    <tableColumn id="8" xr3:uid="{F9D34E64-97D3-4F62-8ABD-A6EC4D4577CE}" name="UncachedDiskMBytesPerSecond" dataDxfId="29"/>
    <tableColumn id="9" xr3:uid="{722D958B-1F16-4C14-9BCE-FD461C58B6A1}" name="MaxDataDiskCount"/>
    <tableColumn id="10" xr3:uid="{31F750BC-B49E-4FAD-AD27-408D970CB282}" name="PremiumIO"/>
    <tableColumn id="11" xr3:uid="{BBEF3C53-1C50-4ABA-9E7B-3CFDE468CF9A}" name="UltraSSDAvailable"/>
    <tableColumn id="12" xr3:uid="{6A529B04-4C81-4E99-BAA4-581D1FC7C30C}" name="AcceleratedNetworkingEnabled"/>
    <tableColumn id="16" xr3:uid="{DA6E64CF-2F6A-445E-92B6-55C51D003C3F}" name="MaxNetworkInterfaces"/>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28"/>
    <tableColumn id="12" xr3:uid="{4AE24669-3CB1-49A1-8393-B3A789B0C3D7}" name="Databases" dataDxfId="27"/>
    <tableColumn id="2" xr3:uid="{A5C93801-DDDD-431B-A77D-F2BFC8CDEA25}" name="%DB Time of Elapsed Time _x000a_(aka Avg Active Sessions or &quot;AAS&quot;)" totalsRowFunction="sum" dataDxfId="26" totalsRowDxfId="25">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24" totalsRowDxfId="23">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22" totalsRowDxfId="21">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20" totalsRowDxfId="19">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18" totalsRowDxfId="17">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16" totalsRowDxfId="15">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14" totalsRowDxfId="13">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12" totalsRowDxfId="11">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10" totalsRowDxfId="9">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8" totalsRowDxfId="7">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19:J20" insertRow="1" totalsRowShown="0">
  <autoFilter ref="A19:J20" xr:uid="{FAB68401-3585-4E5E-A63D-6673F6C9573B}"/>
  <tableColumns count="10">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6" dataCellStyle="Comma"/>
    <tableColumn id="4" xr3:uid="{63F72964-A929-4DD9-A68A-17207AEF999E}" name="Disk Size (GB)/Instance" dataDxfId="5" dataCellStyle="Comma"/>
    <tableColumn id="5" xr3:uid="{E6CE5E8E-D5B9-4AF5-9077-C8BEE6A607C4}" name="Throughput (MB/s)/Instance" dataDxfId="4" dataCellStyle="Comma"/>
    <tableColumn id="7" xr3:uid="{CB82F9F4-6FC2-4133-B345-4A9AC5028B2F}" name="Disk Size (GB)" dataDxfId="3" dataCellStyle="Comma">
      <calculatedColumnFormula>StorageRecommendations[[#This Row],['# of Instances]]*StorageRecommendations[[#This Row],[Disk Size (GB)/Instance]]</calculatedColumnFormula>
    </tableColumn>
    <tableColumn id="8" xr3:uid="{7521CAC3-E725-4CC2-B1E5-DFD4959AE2A5}" name="Throughput (MB/s)" dataDxfId="2" dataCellStyle="Comma">
      <calculatedColumnFormula>StorageRecommendations[[#This Row],['# of Instances]]*StorageRecommendations[[#This Row],[Throughput (MB/s)/Instance]]</calculatedColumnFormula>
    </tableColumn>
    <tableColumn id="9" xr3:uid="{99F4A509-49E6-4CAB-8AEA-D85F15810D38}" name="Cost/Month" dataDxfId="1" dataCellStyle="Comma"/>
    <tableColumn id="10" xr3:uid="{A63D31AA-7E4D-4635-AA50-5B9DB883453B}" name="Notes" dataDxfId="0"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E2" insertRow="1" totalsRowShown="0">
  <autoFilter ref="A1:BE2" xr:uid="{DC906E0A-E8EC-4B2D-986D-6AC28326CF76}"/>
  <tableColumns count="57">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HibernationSupported"/>
    <tableColumn id="51" xr3:uid="{2CD684E9-91FD-4258-BDA9-000237631D48}" name="TrustedLaunchDisabl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MaxWriteAcceleratorDisksAllowed"/>
    <tableColumn id="57" xr3:uid="{92B9F600-A19E-4820-8061-53BE15E16569}"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L2" insertRow="1" totalsRowShown="0">
  <autoFilter ref="A1:AL2" xr:uid="{FA4EAD43-B517-46A3-A36F-1EE99C7C17F2}"/>
  <tableColumns count="38">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MaxIOps"/>
    <tableColumn id="27" xr3:uid="{06D4E4F9-FA3A-45AF-90B9-9BEDDBA5726A}" name="MinIOps"/>
    <tableColumn id="28" xr3:uid="{90F3EAD8-DA78-4969-9A33-9B03BD9AE8AF}" name="MaxBandwidthMBps"/>
    <tableColumn id="29" xr3:uid="{31E28F1E-DECB-4E89-9330-E085780147E1}" name="MinBandwidthMBps"/>
    <tableColumn id="30" xr3:uid="{0B3DCFEB-0ECF-4549-B1C5-F2C0F10DD6A0}" name="MaxBurstIops"/>
    <tableColumn id="31" xr3:uid="{A28DA902-2333-41FE-A3BA-9811FD8F1A22}" name="MaxBurstBandwidthMBps"/>
    <tableColumn id="32" xr3:uid="{430983EA-88EA-4096-AF7C-35DCD27B72E0}" name="MaxBurstDurationInMin"/>
    <tableColumn id="33" xr3:uid="{D171405A-6962-481C-8D15-43C0A6C59134}" name="BurstCreditBucketSizeInIO"/>
    <tableColumn id="34" xr3:uid="{7F0A7BBD-51A0-4CE0-A273-E49BB91E9568}" name="BurstCreditBucketSizeInGiB"/>
    <tableColumn id="35" xr3:uid="{0D91A530-0057-40AD-9212-3B1D8105B776}" name="MaxZonalFaultDomainCount"/>
    <tableColumn id="36" xr3:uid="{3D9C807C-A816-42CE-AD36-C2CC60CC272E}" name="MaxBandwidthMBpsPerformancePlus"/>
    <tableColumn id="37" xr3:uid="{BD71993D-1C65-48FA-A1D6-B88269A34846}"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U2" insertRow="1" totalsRowShown="0">
  <autoFilter ref="A1:U2" xr:uid="{04DD5A96-81FA-4B2F-A5CA-D9545EE1CCF5}"/>
  <tableColumns count="21">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availabilityId"/>
    <tableColumn id="20" xr3:uid="{93C391B3-F428-41A2-9EFD-F47271A5ABA2}" name="serviceId"/>
    <tableColumn id="21" xr3:uid="{0AEFC165-681F-4A11-880C-489F96576EED}" name="isPrimaryMeterReg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23"/>
  <sheetViews>
    <sheetView topLeftCell="A19" zoomScaleNormal="100" workbookViewId="0">
      <selection activeCell="J22" sqref="J22"/>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18" t="s">
        <v>159</v>
      </c>
      <c r="C1" s="18"/>
      <c r="D1" s="18"/>
      <c r="E1" s="18"/>
      <c r="F1" s="18"/>
      <c r="G1" s="18"/>
      <c r="H1" s="18"/>
      <c r="I1" s="18"/>
      <c r="J1" s="18"/>
      <c r="K1" s="18"/>
      <c r="L1" s="18"/>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172</v>
      </c>
    </row>
    <row r="4" spans="1:26" x14ac:dyDescent="0.25">
      <c r="F4" s="2"/>
      <c r="G4" s="2"/>
      <c r="H4" s="2"/>
      <c r="I4" s="2"/>
      <c r="J4" s="2"/>
      <c r="K4" s="2"/>
      <c r="L4" s="3"/>
      <c r="M4" s="2"/>
      <c r="N4" s="2"/>
      <c r="O4" s="2"/>
      <c r="P4" s="2"/>
      <c r="Q4" s="2"/>
      <c r="R4" s="2"/>
      <c r="S4" s="2">
        <f>AWRData[[#This Row],[Read Throughput (MB/s)]]+AWRData[[#This Row],[Write Throughput (MB/s)]]</f>
        <v>0</v>
      </c>
      <c r="T4" s="2">
        <f>AWRData[[#This Row],[Read IOPS]]+AWRData[[#This Row],[Write IOPS]]</f>
        <v>0</v>
      </c>
      <c r="U4" s="2">
        <f>(AWRData[[#This Row],[Elapsed Time (mins)]]*60)+AWRData[[#This Row],[CPUs]]</f>
        <v>0</v>
      </c>
      <c r="V4" s="2">
        <f>(AWRData[[#This Row],[SGA Use (MB)]]+AWRData[[#This Row],[PGA Use (MB)]])/1024</f>
        <v>0</v>
      </c>
      <c r="W4" s="2" t="e">
        <f>AWRData[[#This Row],[CPUs]]/AWRData[[#This Row],[Cores]]</f>
        <v>#DIV/0!</v>
      </c>
      <c r="X4" s="4" t="e">
        <f>AWRData[[#This Row],[DB Time (mins)]]/AWRData[[#This Row],[Elapsed Time (mins)]]</f>
        <v>#DIV/0!</v>
      </c>
      <c r="Z4" s="2"/>
    </row>
    <row r="5" spans="1:26" x14ac:dyDescent="0.25">
      <c r="A5" t="s">
        <v>9</v>
      </c>
      <c r="F5" s="2">
        <f>SUBTOTAL(109,AWRData[Elapsed Time (mins)])</f>
        <v>0</v>
      </c>
      <c r="G5" s="2">
        <f>SUBTOTAL(109,AWRData[DB Time (mins)])</f>
        <v>0</v>
      </c>
      <c r="H5" s="2">
        <f>SUBTOTAL(109,AWRData[DB CPU])</f>
        <v>0</v>
      </c>
      <c r="I5" s="2">
        <f>SUBTOTAL(109,AWRData[CPUs])</f>
        <v>0</v>
      </c>
      <c r="J5" s="2">
        <f>SUBTOTAL(109,AWRData[Cores])</f>
        <v>0</v>
      </c>
      <c r="K5" s="2">
        <f>SUBTOTAL(109,AWRData[Memory (GB)])</f>
        <v>0</v>
      </c>
      <c r="L5" s="3">
        <f>SUBTOTAL(109,AWRData[% Busy CPU])</f>
        <v>0</v>
      </c>
      <c r="M5" s="2">
        <f>SUBTOTAL(109,AWRData[SGA Use (MB)])</f>
        <v>0</v>
      </c>
      <c r="N5" s="2">
        <f>SUBTOTAL(109,AWRData[PGA Use (MB)])</f>
        <v>0</v>
      </c>
      <c r="O5" s="2">
        <f>SUBTOTAL(109,AWRData[Read Throughput (MB/s)])</f>
        <v>0</v>
      </c>
      <c r="P5" s="2">
        <f>SUBTOTAL(109,AWRData[Write Throughput (MB/s)])</f>
        <v>0</v>
      </c>
      <c r="Q5" s="2">
        <f>SUBTOTAL(109,AWRData[Read IOPS])</f>
        <v>0</v>
      </c>
      <c r="R5" s="2">
        <f>SUBTOTAL(109,AWRData[Write IOPS])</f>
        <v>0</v>
      </c>
      <c r="S5" s="2">
        <f>SUBTOTAL(109,AWRData[Total Throughput (MB/s)])</f>
        <v>0</v>
      </c>
      <c r="T5" s="2">
        <f>SUBTOTAL(109,AWRData[Total IOPS])</f>
        <v>0</v>
      </c>
      <c r="U5" s="2">
        <f>SUBTOTAL(109,AWRData[CPU Total Capacity (sec)])</f>
        <v>0</v>
      </c>
      <c r="V5" s="2">
        <f>SUBTOTAL(109,AWRData[Observed Memory Use (GB)])</f>
        <v>0</v>
      </c>
      <c r="W5" s="2" t="e">
        <f>SUBTOTAL(109,AWRData[Source CPU HT Factor])</f>
        <v>#DIV/0!</v>
      </c>
      <c r="X5" s="4" t="e">
        <f>SUBTOTAL(109,AWRData[Average Active Sessions])</f>
        <v>#DIV/0!</v>
      </c>
    </row>
    <row r="7" spans="1:26" ht="36.75" customHeight="1" x14ac:dyDescent="0.25">
      <c r="A7" s="9" t="s">
        <v>84</v>
      </c>
      <c r="B7" s="18" t="s">
        <v>160</v>
      </c>
      <c r="C7" s="18"/>
      <c r="D7" s="18"/>
      <c r="E7" s="18"/>
      <c r="F7" s="18"/>
      <c r="G7" s="18"/>
      <c r="H7" s="18"/>
      <c r="I7" s="18"/>
      <c r="J7" s="18"/>
      <c r="K7" s="18"/>
      <c r="L7" s="18"/>
    </row>
    <row r="8" spans="1:26" ht="18.75" x14ac:dyDescent="0.3">
      <c r="A8" s="1" t="s">
        <v>35</v>
      </c>
    </row>
    <row r="9" spans="1:26" x14ac:dyDescent="0.25">
      <c r="A9" t="s">
        <v>12</v>
      </c>
      <c r="B9" t="s">
        <v>13</v>
      </c>
      <c r="C9" t="s">
        <v>36</v>
      </c>
      <c r="D9" t="s">
        <v>37</v>
      </c>
      <c r="E9" t="s">
        <v>38</v>
      </c>
      <c r="F9" t="s">
        <v>39</v>
      </c>
      <c r="G9" t="s">
        <v>40</v>
      </c>
    </row>
    <row r="10" spans="1:26" x14ac:dyDescent="0.25">
      <c r="C10" s="3" t="str">
        <f>IF(InstSummary[[#This Row],[Instance Name]]="","",SUMIFS(AWRData[DB Time (mins)],AWRData[Instance Name],InstSummary[[#This Row],[Instance Name]])/SUMIFS(AWRData[Elapsed Time (mins)],AWRData[Instance Name],InstSummary[[#This Row],[Instance Name]]))</f>
        <v/>
      </c>
      <c r="D10" s="2" t="str">
        <f>IF(InstSummary[[#This Row],[Instance Name]]="","",SUMIFS(AWRData[Observed Memory Use (GB)],AWRData[Instance Name],InstSummary[[#This Row],[Instance Name]]))</f>
        <v/>
      </c>
      <c r="E10" s="2" t="str">
        <f>IF(InstSummary[[#This Row],[Instance Name]]="","",SUMIFS(AWRData[Total IOPS],AWRData[Instance Name],InstSummary[[#This Row],[Instance Name]]))</f>
        <v/>
      </c>
      <c r="F10" s="2" t="str">
        <f>IF(InstSummary[[#This Row],[Instance Name]]="","",SUMIFS(AWRData[Total Throughput (MB/s)],AWRData[Instance Name],InstSummary[[#This Row],[Instance Name]]))</f>
        <v/>
      </c>
      <c r="G10" s="4" t="str">
        <f>IF(InstSummary[[#This Row],[Instance Name]]="","",InstSummary[[#This Row],[%DB Time of Elapsed Time (aka Avg Active Sessions or "AAS")]]*(vCPUHTFactor/SUMIFS(AWRData[Source CPU HT Factor],AWRData[Instance Name],InstSummary[[#This Row],[Instance Name]])))</f>
        <v/>
      </c>
    </row>
    <row r="11" spans="1:26" x14ac:dyDescent="0.25">
      <c r="A11" t="s">
        <v>9</v>
      </c>
      <c r="C11" s="3">
        <f>SUBTOTAL(109,InstSummary[%DB Time of Elapsed Time (aka Avg Active Sessions or "AAS")])</f>
        <v>0</v>
      </c>
      <c r="D11" s="2">
        <f>SUBTOTAL(109,InstSummary[Observed memory use (GB)])</f>
        <v>0</v>
      </c>
      <c r="E11" s="2">
        <f>SUBTOTAL(109,InstSummary[Observed IOPS])</f>
        <v>0</v>
      </c>
      <c r="F11" s="2">
        <f>SUBTOTAL(109,InstSummary[Observed Throughput (MB/s)])</f>
        <v>0</v>
      </c>
      <c r="G11" s="4">
        <f>SUBTOTAL(109,InstSummary[Observed vCPUs])</f>
        <v>0</v>
      </c>
    </row>
    <row r="13" spans="1:26" ht="36.75" customHeight="1" x14ac:dyDescent="0.25">
      <c r="A13" s="9" t="s">
        <v>85</v>
      </c>
      <c r="B13" s="18" t="s">
        <v>161</v>
      </c>
      <c r="C13" s="18"/>
      <c r="D13" s="18"/>
      <c r="E13" s="18"/>
      <c r="F13" s="18"/>
      <c r="G13" s="18"/>
      <c r="H13" s="18"/>
      <c r="I13" s="18"/>
      <c r="J13" s="18"/>
      <c r="K13" s="18"/>
      <c r="L13" s="18"/>
    </row>
    <row r="14" spans="1:26" ht="18.75" x14ac:dyDescent="0.3">
      <c r="A14" s="1" t="s">
        <v>41</v>
      </c>
    </row>
    <row r="15" spans="1:26" x14ac:dyDescent="0.25">
      <c r="A15" t="s">
        <v>14</v>
      </c>
      <c r="B15" t="s">
        <v>36</v>
      </c>
      <c r="C15" t="s">
        <v>37</v>
      </c>
      <c r="D15" t="s">
        <v>38</v>
      </c>
      <c r="E15" t="s">
        <v>39</v>
      </c>
      <c r="F15" t="s">
        <v>40</v>
      </c>
    </row>
    <row r="16" spans="1:26" x14ac:dyDescent="0.25">
      <c r="B16" s="3" t="str">
        <f>IF(HostSummary[[#This Row],[Host Name]]="","",SUMIFS(AWRData[DB Time (mins)],AWRData[Host Name],HostSummary[[#This Row],[Host Name]])/SUMIFS(AWRData[Elapsed Time (mins)],AWRData[Host Name],HostSummary[[#This Row],[Host Name]]))</f>
        <v/>
      </c>
      <c r="C16" s="2" t="str">
        <f>IF(HostSummary[[#This Row],[Host Name]]="","",SUMIFS(AWRData[Observed Memory Use (GB)],AWRData[Host Name],HostSummary[[#This Row],[Host Name]]))</f>
        <v/>
      </c>
      <c r="D16" s="2" t="str">
        <f>IF(HostSummary[[#This Row],[Host Name]]="","",SUMIFS(AWRData[Total IOPS],AWRData[Host Name],HostSummary[[#This Row],[Host Name]]))</f>
        <v/>
      </c>
      <c r="E16" s="2" t="str">
        <f>IF(HostSummary[[#This Row],[Host Name]]="","",SUMIFS(AWRData[Total Throughput (MB/s)],AWRData[Host Name],HostSummary[[#This Row],[Host Name]]))</f>
        <v/>
      </c>
      <c r="F16" s="2" t="str">
        <f>IF(HostSummary[[#This Row],[Host Name]]="","",ROUND(HostSummary[[#This Row],[%DB Time of Elapsed Time (aka Avg Active Sessions or "AAS")]]+0.5,0)*(vCPUHTFactor/AVERAGEIFS(AWRData[Source CPU HT Factor],AWRData[Host Name],HostSummary[[#This Row],[Host Name]])))</f>
        <v/>
      </c>
    </row>
    <row r="17" spans="1:12" x14ac:dyDescent="0.25">
      <c r="A17" t="s">
        <v>9</v>
      </c>
      <c r="B17" s="3">
        <f>SUBTOTAL(109,HostSummary[%DB Time of Elapsed Time (aka Avg Active Sessions or "AAS")])</f>
        <v>0</v>
      </c>
      <c r="C17" s="2">
        <f>SUBTOTAL(109,HostSummary[Observed memory use (GB)])</f>
        <v>0</v>
      </c>
      <c r="D17" s="2">
        <f>SUBTOTAL(109,HostSummary[Observed IOPS])</f>
        <v>0</v>
      </c>
      <c r="E17" s="2">
        <f>SUBTOTAL(109,HostSummary[Observed Throughput (MB/s)])</f>
        <v>0</v>
      </c>
      <c r="F17" s="2">
        <f>SUBTOTAL(109,HostSummary[Observed vCPUs])</f>
        <v>0</v>
      </c>
    </row>
    <row r="19" spans="1:12" ht="149.25" customHeight="1" x14ac:dyDescent="0.25">
      <c r="A19" s="9" t="s">
        <v>86</v>
      </c>
      <c r="B19" s="18" t="s">
        <v>171</v>
      </c>
      <c r="C19" s="18"/>
      <c r="D19" s="18"/>
      <c r="E19" s="18"/>
      <c r="F19" s="18"/>
      <c r="G19" s="18"/>
      <c r="H19" s="18"/>
      <c r="I19" s="18"/>
      <c r="J19" s="18"/>
      <c r="K19" s="18"/>
      <c r="L19" s="18"/>
    </row>
    <row r="20" spans="1:12" ht="18.75" x14ac:dyDescent="0.3">
      <c r="A20" s="1" t="s">
        <v>42</v>
      </c>
    </row>
    <row r="21" spans="1:12" ht="90" x14ac:dyDescent="0.25">
      <c r="A21" t="s">
        <v>64</v>
      </c>
      <c r="B21" t="s">
        <v>12</v>
      </c>
      <c r="C21" s="5" t="s">
        <v>65</v>
      </c>
      <c r="D21" s="5" t="s">
        <v>67</v>
      </c>
      <c r="E21" s="5" t="s">
        <v>68</v>
      </c>
      <c r="F21" s="5" t="s">
        <v>69</v>
      </c>
      <c r="G21" s="5" t="s">
        <v>72</v>
      </c>
      <c r="H21" s="5" t="s">
        <v>73</v>
      </c>
      <c r="I21" s="5" t="s">
        <v>70</v>
      </c>
      <c r="J21" s="5" t="s">
        <v>71</v>
      </c>
      <c r="K21" s="5" t="s">
        <v>74</v>
      </c>
      <c r="L21" s="5" t="s">
        <v>75</v>
      </c>
    </row>
    <row r="22" spans="1:12" x14ac:dyDescent="0.25">
      <c r="A22" s="10"/>
      <c r="C22" s="3" t="str">
        <f>IF(DBSummary[[#This Row],[DB Name]]="","",SUMIFS(AWRData[DB Time (mins)],AWRData[DB Name],DBSummary[[#This Row],[DB Name]])/SUMIFS(AWRData[Elapsed Time (mins)],AWRData[DB Name],DBSummary[[#This Row],[DB Name]]))</f>
        <v/>
      </c>
      <c r="D22" s="2" t="str">
        <f>IF(DBSummary[[#This Row],[DB Name]]="","",SUMIFS(AWRData[Observed Memory Use (GB)],AWRData[DB Name],DBSummary[[#This Row],[DB Name]]))</f>
        <v/>
      </c>
      <c r="E22" s="2" t="str">
        <f>IF(DBSummary[[#This Row],[DB Name]]="","",DBSummary[[#This Row],[Observed memory 
use (GB)]]*peakRamFactor)</f>
        <v/>
      </c>
      <c r="F22" s="2" t="str">
        <f>IF(DBSummary[[#This Row],[DB Name]]="","",SUMIFS(AWRData[Total IOPS],AWRData[DB Name],DBSummary[[#This Row],[DB Name]]))</f>
        <v/>
      </c>
      <c r="G22" s="2" t="str">
        <f>IF(DBSummary[[#This Row],[DB Name]]="","",SUMIFS(AWRData[Total Throughput (MB/s)],AWRData[DB Name],DBSummary[[#This Row],[DB Name]]))</f>
        <v/>
      </c>
      <c r="H22" s="2" t="str">
        <f>IF(DBSummary[[#This Row],[DB Name]]="","",DBSummary[[#This Row],[Observed 
IOPS]]*peakIOFactor)</f>
        <v/>
      </c>
      <c r="I22" s="2" t="str">
        <f>IF(DBSummary[[#This Row],[DB Name]]="","",DBSummary[[#This Row],[Observed 
Throughput 
(MB/s)]]*peakIOFactor)</f>
        <v/>
      </c>
      <c r="J22" s="2" t="str">
        <f>IF(DBSummary[[#This Row],[DB Name]]="","",SUMIFS(InstSummary[Observed vCPUs],InstSummary[DB Name],DBSummary[[#This Row],[DB Name]]))</f>
        <v/>
      </c>
      <c r="K22" s="2" t="str">
        <f>IF(DBSummary[[#This Row],[DB Name]]="","",IF(SUMIFS(AWRData[% Busy CPU],AWRData[DB Name],DBSummary[[#This Row],[DB Name]])&lt;busyCPUThreshold,peakCPUFactor*DBSummary[[#This Row],[Observed 
Azure vCPUs]],(busyCPUFactor*peakCPUFactor)*DBSummary[[#This Row],[Observed 
Azure vCPUs]]))</f>
        <v/>
      </c>
      <c r="L22" s="10"/>
    </row>
    <row r="23" spans="1:12" x14ac:dyDescent="0.25">
      <c r="A23" t="s">
        <v>9</v>
      </c>
      <c r="C23" s="3">
        <f>SUBTOTAL(109,DBSummary[%DB Time of Elapsed Time 
(aka Avg Active Sessions or "AAS")])</f>
        <v>0</v>
      </c>
      <c r="D23" s="2">
        <f>SUBTOTAL(109,DBSummary[Observed memory 
use (GB)])</f>
        <v>0</v>
      </c>
      <c r="E23" s="2">
        <f>SUBTOTAL(109,DBSummary[Estimated RAM 
On Azure])</f>
        <v>0</v>
      </c>
      <c r="F23" s="2">
        <f>SUBTOTAL(109,DBSummary[Observed 
IOPS])</f>
        <v>0</v>
      </c>
      <c r="G23" s="2">
        <f>SUBTOTAL(109,DBSummary[Observed 
Throughput 
(MB/s)])</f>
        <v>0</v>
      </c>
      <c r="H23" s="2">
        <f>SUBTOTAL(109,DBSummary[Estimated IOPS 
On Azure 
for peak load])</f>
        <v>0</v>
      </c>
      <c r="I23" s="2">
        <f>SUBTOTAL(109,DBSummary[Estimated Throughput (MB/s) 
On Azure for peak load])</f>
        <v>0</v>
      </c>
      <c r="J23" s="2">
        <f>SUBTOTAL(109,DBSummary[Observed 
Azure vCPUs])</f>
        <v>0</v>
      </c>
      <c r="K23" s="2">
        <f>SUBTOTAL(109,DBSummary[Estimated vCPUs 
On Azure 
for peak load])</f>
        <v>0</v>
      </c>
      <c r="L23" s="2">
        <f>SUBTOTAL(109,DBSummary[Estimated
Storage Size
(GiB)])</f>
        <v>0</v>
      </c>
    </row>
  </sheetData>
  <mergeCells count="4">
    <mergeCell ref="B1:L1"/>
    <mergeCell ref="B7:L7"/>
    <mergeCell ref="B13:L13"/>
    <mergeCell ref="B19:L19"/>
  </mergeCells>
  <conditionalFormatting sqref="A4:Z4">
    <cfRule type="expression" dxfId="113"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0"/>
  <sheetViews>
    <sheetView tabSelected="1" workbookViewId="0">
      <pane xSplit="2" topLeftCell="C1" activePane="topRight" state="frozenSplit"/>
      <selection pane="topRight" activeCell="C14" sqref="C14"/>
    </sheetView>
  </sheetViews>
  <sheetFormatPr defaultRowHeight="15" x14ac:dyDescent="0.25"/>
  <cols>
    <col min="1" max="11" width="20.7109375" customWidth="1"/>
    <col min="12" max="12" width="22.42578125" customWidth="1"/>
    <col min="13" max="22" width="20.7109375" customWidth="1"/>
    <col min="23" max="23" width="20.7109375" style="6" customWidth="1"/>
    <col min="24" max="99" width="30.7109375" style="6" customWidth="1"/>
  </cols>
  <sheetData>
    <row r="1" spans="1:100" s="7" customFormat="1" ht="60" customHeight="1" x14ac:dyDescent="0.25">
      <c r="A1" s="19"/>
      <c r="B1" s="19"/>
      <c r="C1" s="12"/>
      <c r="D1" s="8"/>
      <c r="E1" s="8"/>
      <c r="F1" s="8"/>
      <c r="G1" s="8"/>
      <c r="H1" s="8"/>
      <c r="I1" s="8"/>
      <c r="J1" s="8"/>
      <c r="K1" s="8"/>
    </row>
    <row r="2" spans="1:100" s="7" customFormat="1" ht="93" customHeight="1" x14ac:dyDescent="0.25">
      <c r="A2" s="19"/>
      <c r="B2" s="19"/>
      <c r="C2" s="8"/>
      <c r="D2" s="8"/>
      <c r="E2" s="8"/>
      <c r="F2" s="8"/>
      <c r="G2" s="8"/>
      <c r="H2" s="8"/>
      <c r="I2" s="8"/>
      <c r="J2" s="8"/>
      <c r="K2" s="8"/>
    </row>
    <row r="3" spans="1:100" ht="18.75" x14ac:dyDescent="0.3">
      <c r="A3" s="1"/>
    </row>
    <row r="4" spans="1:100" ht="36.75" customHeight="1" x14ac:dyDescent="0.25">
      <c r="A4" s="24" t="s">
        <v>87</v>
      </c>
      <c r="B4" s="24"/>
      <c r="C4" s="23"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0 VM SKUs and 0 managed disk SKUs currently selected by filters . Note that each virtual machine and each storage recommendation is an alternative option. You should use one VM and one storage option for each 'Azure Server Name' </v>
      </c>
      <c r="D4" s="23"/>
      <c r="E4" s="23"/>
      <c r="F4" s="23"/>
      <c r="G4" s="23"/>
      <c r="H4" s="23"/>
      <c r="I4" s="23"/>
      <c r="J4" s="23"/>
      <c r="K4" s="23"/>
      <c r="L4" s="23"/>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1" t="s">
        <v>189</v>
      </c>
      <c r="D6" s="21"/>
      <c r="E6" s="21"/>
      <c r="F6" s="21"/>
      <c r="G6" s="21"/>
      <c r="H6" s="21"/>
      <c r="I6" s="21"/>
      <c r="J6" s="21"/>
      <c r="K6" s="21"/>
      <c r="L6" s="21"/>
    </row>
    <row r="7" spans="1:100" ht="60" x14ac:dyDescent="0.25">
      <c r="A7" t="s">
        <v>64</v>
      </c>
      <c r="B7" t="s">
        <v>163</v>
      </c>
      <c r="C7" s="5" t="s">
        <v>65</v>
      </c>
      <c r="D7" s="5" t="s">
        <v>67</v>
      </c>
      <c r="E7" s="5" t="s">
        <v>68</v>
      </c>
      <c r="F7" s="5" t="s">
        <v>69</v>
      </c>
      <c r="G7" s="5" t="s">
        <v>72</v>
      </c>
      <c r="H7" s="5" t="s">
        <v>73</v>
      </c>
      <c r="I7" s="5" t="s">
        <v>70</v>
      </c>
      <c r="J7" s="5" t="s">
        <v>71</v>
      </c>
      <c r="K7" s="5" t="s">
        <v>74</v>
      </c>
      <c r="L7" s="5" t="s">
        <v>75</v>
      </c>
      <c r="W7"/>
      <c r="CV7" s="6"/>
    </row>
    <row r="8" spans="1:100" x14ac:dyDescent="0.25">
      <c r="A8" s="2"/>
      <c r="B8" s="2"/>
      <c r="C8" s="4" t="str">
        <f>IF(AzureServerSummary[[#This Row],[Azure Server Name]]="","",SUMIFS(DBSummary[%DB Time of Elapsed Time 
(aka Avg Active Sessions or "AAS")],DBSummary[Azure Server Name],AzureServerSummary[[#This Row],[Azure Server Name]]))</f>
        <v/>
      </c>
      <c r="D8" s="2" t="str">
        <f>IF(AzureServerSummary[[#This Row],[Azure Server Name]]="","",SUMIFS(DBSummary[Observed memory 
use (GB)],DBSummary[Azure Server Name],AzureServerSummary[[#This Row],[Azure Server Name]]))</f>
        <v/>
      </c>
      <c r="E8" s="2" t="str">
        <f>IF(AzureServerSummary[[#This Row],[Azure Server Name]]="","",SUMIFS(DBSummary[Estimated RAM 
On Azure],DBSummary[Azure Server Name],AzureServerSummary[[#This Row],[Azure Server Name]]))</f>
        <v/>
      </c>
      <c r="F8" s="2" t="str">
        <f>IF(AzureServerSummary[[#This Row],[Azure Server Name]]="","",SUMIFS(DBSummary[Observed 
IOPS],DBSummary[Azure Server Name],AzureServerSummary[[#This Row],[Azure Server Name]]))</f>
        <v/>
      </c>
      <c r="G8" s="2" t="str">
        <f>IF(AzureServerSummary[[#This Row],[Azure Server Name]]="","",SUMIFS(DBSummary[Observed 
Throughput 
(MB/s)],DBSummary[Azure Server Name],AzureServerSummary[[#This Row],[Azure Server Name]]))</f>
        <v/>
      </c>
      <c r="H8" s="2" t="str">
        <f>IF(AzureServerSummary[[#This Row],[Azure Server Name]]="","",SUMIFS(DBSummary[Estimated IOPS 
On Azure 
for peak load],DBSummary[Azure Server Name],AzureServerSummary[[#This Row],[Azure Server Name]]))</f>
        <v/>
      </c>
      <c r="I8" s="2" t="str">
        <f>IF(AzureServerSummary[[#This Row],[Azure Server Name]]="","",SUMIFS(DBSummary[Estimated Throughput (MB/s) 
On Azure for peak load],DBSummary[Azure Server Name],AzureServerSummary[[#This Row],[Azure Server Name]]))</f>
        <v/>
      </c>
      <c r="J8" s="2" t="str">
        <f>IF(AzureServerSummary[[#This Row],[Azure Server Name]]="","",SUMIFS(DBSummary[Observed 
Azure vCPUs],DBSummary[Azure Server Name],AzureServerSummary[[#This Row],[Azure Server Name]]))</f>
        <v/>
      </c>
      <c r="K8" s="2" t="str">
        <f>IF(AzureServerSummary[[#This Row],[Azure Server Name]]="","",SUMIFS(DBSummary[Estimated vCPUs 
On Azure 
for peak load],DBSummary[Azure Server Name],AzureServerSummary[[#This Row],[Azure Server Name]]))</f>
        <v/>
      </c>
      <c r="L8" s="2" t="str">
        <f>IF(AzureServerSummary[[#This Row],[Azure Server Name]]="","",SUMIFS(DBSummary[Estimated
Storage Size
(GiB)],DBSummary[Azure Server Name],AzureServerSummary[[#This Row],[Azure Server Name]]))</f>
        <v/>
      </c>
      <c r="W8"/>
      <c r="CV8" s="6"/>
    </row>
    <row r="9" spans="1:100" x14ac:dyDescent="0.25">
      <c r="A9" t="s">
        <v>9</v>
      </c>
      <c r="C9" s="4">
        <f>SUBTOTAL(109,AzureServerSummary[%DB Time of Elapsed Time 
(aka Avg Active Sessions or "AAS")])</f>
        <v>0</v>
      </c>
      <c r="D9" s="2">
        <f>SUBTOTAL(109,AzureServerSummary[Observed memory 
use (GB)])</f>
        <v>0</v>
      </c>
      <c r="E9" s="2">
        <f>SUBTOTAL(109,AzureServerSummary[Estimated RAM 
On Azure])</f>
        <v>0</v>
      </c>
      <c r="F9" s="2">
        <f>SUBTOTAL(109,AzureServerSummary[Observed 
IOPS])</f>
        <v>0</v>
      </c>
      <c r="G9" s="2">
        <f>SUBTOTAL(109,AzureServerSummary[Observed 
Throughput 
(MB/s)])</f>
        <v>0</v>
      </c>
      <c r="H9" s="2">
        <f>SUBTOTAL(109,AzureServerSummary[Estimated IOPS 
On Azure 
for peak load])</f>
        <v>0</v>
      </c>
      <c r="I9" s="2">
        <f>SUBTOTAL(109,AzureServerSummary[Estimated Throughput (MB/s) 
On Azure for peak load])</f>
        <v>0</v>
      </c>
      <c r="J9" s="2">
        <f>SUBTOTAL(109,AzureServerSummary[Observed 
Azure vCPUs])</f>
        <v>0</v>
      </c>
      <c r="K9" s="2">
        <f>SUBTOTAL(109,AzureServerSummary[Estimated vCPUs 
On Azure 
for peak load])</f>
        <v>0</v>
      </c>
      <c r="L9" s="2">
        <f>SUBTOTAL(109,AzureServerSummary[Estimated
Storage Size
(GiB)])</f>
        <v>0</v>
      </c>
      <c r="W9"/>
      <c r="CV9" s="6"/>
    </row>
    <row r="11" spans="1:100" ht="18.75" x14ac:dyDescent="0.3">
      <c r="A11" s="1"/>
    </row>
    <row r="12" spans="1:100" ht="18.75" customHeight="1" x14ac:dyDescent="0.25">
      <c r="A12" s="20" t="s">
        <v>164</v>
      </c>
      <c r="B12" s="20"/>
      <c r="C12" s="25" t="s">
        <v>192</v>
      </c>
      <c r="D12" s="25"/>
      <c r="E12" s="25"/>
      <c r="F12" s="25"/>
      <c r="G12" s="25"/>
      <c r="H12" s="25"/>
      <c r="I12" s="25"/>
      <c r="J12" s="25"/>
      <c r="K12" s="25"/>
      <c r="L12" s="25"/>
      <c r="W12"/>
      <c r="X12"/>
      <c r="Y12"/>
      <c r="Z12"/>
    </row>
    <row r="13" spans="1:100" x14ac:dyDescent="0.25">
      <c r="A13" s="20"/>
      <c r="B13" s="20"/>
      <c r="C13" s="25"/>
      <c r="D13" s="25"/>
      <c r="E13" s="25"/>
      <c r="F13" s="25"/>
      <c r="G13" s="25"/>
      <c r="H13" s="25"/>
      <c r="I13" s="25"/>
      <c r="J13" s="25"/>
      <c r="K13" s="25"/>
      <c r="L13" s="25"/>
      <c r="W13"/>
      <c r="X13"/>
      <c r="Y13"/>
      <c r="Z13"/>
    </row>
    <row r="14" spans="1:100" x14ac:dyDescent="0.25">
      <c r="A14" t="s">
        <v>64</v>
      </c>
      <c r="B14" t="s">
        <v>43</v>
      </c>
      <c r="C14" t="s">
        <v>88</v>
      </c>
      <c r="D14" t="s">
        <v>48</v>
      </c>
      <c r="E14" t="s">
        <v>50</v>
      </c>
      <c r="F14" t="s">
        <v>56</v>
      </c>
      <c r="G14" t="s">
        <v>190</v>
      </c>
      <c r="H14" t="s">
        <v>51</v>
      </c>
      <c r="I14" t="s">
        <v>52</v>
      </c>
      <c r="J14" t="s">
        <v>63</v>
      </c>
      <c r="K14" t="s">
        <v>61</v>
      </c>
      <c r="L14" t="s">
        <v>62</v>
      </c>
      <c r="W14"/>
      <c r="CV14" s="6"/>
    </row>
    <row r="15" spans="1:100" x14ac:dyDescent="0.25">
      <c r="C15" s="17"/>
      <c r="E15" s="2"/>
      <c r="F15" s="2"/>
      <c r="G15" s="16"/>
      <c r="W15"/>
      <c r="CV15" s="6"/>
    </row>
    <row r="16" spans="1:100" x14ac:dyDescent="0.25">
      <c r="W16"/>
    </row>
    <row r="17" spans="1:22" ht="18.75" x14ac:dyDescent="0.3">
      <c r="A17" s="1"/>
    </row>
    <row r="18" spans="1:22" ht="18.75" x14ac:dyDescent="0.3">
      <c r="A18" s="22" t="s">
        <v>82</v>
      </c>
      <c r="B18" s="22"/>
      <c r="C18" s="22"/>
      <c r="D18" s="22"/>
      <c r="E18" s="22"/>
      <c r="F18" s="22"/>
      <c r="G18" s="22"/>
      <c r="H18" s="22"/>
      <c r="I18" s="22"/>
      <c r="J18" s="22"/>
      <c r="K18" s="1"/>
      <c r="L18" s="1"/>
      <c r="M18" s="1"/>
      <c r="N18" s="1"/>
      <c r="O18" s="1"/>
      <c r="P18" s="1"/>
      <c r="Q18" s="1"/>
      <c r="R18" s="1"/>
      <c r="S18" s="1"/>
      <c r="T18" s="1"/>
      <c r="U18" s="1"/>
      <c r="V18" s="1"/>
    </row>
    <row r="19" spans="1:22" x14ac:dyDescent="0.25">
      <c r="A19" t="s">
        <v>64</v>
      </c>
      <c r="B19" t="s">
        <v>76</v>
      </c>
      <c r="C19" t="s">
        <v>174</v>
      </c>
      <c r="D19" t="s">
        <v>77</v>
      </c>
      <c r="E19" t="s">
        <v>78</v>
      </c>
      <c r="F19" t="s">
        <v>79</v>
      </c>
      <c r="G19" t="s">
        <v>80</v>
      </c>
      <c r="H19" t="s">
        <v>81</v>
      </c>
      <c r="I19" t="s">
        <v>162</v>
      </c>
      <c r="J19" t="s">
        <v>191</v>
      </c>
    </row>
    <row r="20" spans="1:22" x14ac:dyDescent="0.25">
      <c r="D20" s="13"/>
      <c r="E20" s="13"/>
      <c r="F20" s="13"/>
      <c r="G20" s="13"/>
      <c r="H20" s="13"/>
      <c r="I20" s="15"/>
      <c r="J20" s="13"/>
    </row>
  </sheetData>
  <mergeCells count="8">
    <mergeCell ref="A1:B2"/>
    <mergeCell ref="A12:B13"/>
    <mergeCell ref="C6:L6"/>
    <mergeCell ref="A18:B18"/>
    <mergeCell ref="C4:L4"/>
    <mergeCell ref="A4:B4"/>
    <mergeCell ref="C18:J18"/>
    <mergeCell ref="C12:L13"/>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167</v>
      </c>
      <c r="B8">
        <v>0</v>
      </c>
    </row>
    <row r="9" spans="1:2" x14ac:dyDescent="0.25">
      <c r="A9" t="s">
        <v>173</v>
      </c>
      <c r="B9">
        <v>1000</v>
      </c>
    </row>
    <row r="10" spans="1:2" x14ac:dyDescent="0.25">
      <c r="A10" t="s">
        <v>168</v>
      </c>
      <c r="B10" s="14">
        <v>0.7</v>
      </c>
    </row>
    <row r="11" spans="1:2" x14ac:dyDescent="0.25">
      <c r="A11" t="s">
        <v>169</v>
      </c>
      <c r="B11" s="3">
        <v>1.5</v>
      </c>
    </row>
    <row r="12" spans="1:2" x14ac:dyDescent="0.25">
      <c r="A12" t="s">
        <v>170</v>
      </c>
      <c r="B12" s="3">
        <v>0.7</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E1"/>
  <sheetViews>
    <sheetView topLeftCell="N1" workbookViewId="0">
      <selection activeCell="P2" sqref="P2"/>
    </sheetView>
  </sheetViews>
  <sheetFormatPr defaultColWidth="25.85546875" defaultRowHeight="15" x14ac:dyDescent="0.25"/>
  <sheetData>
    <row r="1" spans="1:57" x14ac:dyDescent="0.25">
      <c r="A1" t="s">
        <v>43</v>
      </c>
      <c r="B1" t="s">
        <v>44</v>
      </c>
      <c r="C1" t="s">
        <v>45</v>
      </c>
      <c r="D1" t="s">
        <v>46</v>
      </c>
      <c r="E1" t="s">
        <v>89</v>
      </c>
      <c r="F1" t="s">
        <v>90</v>
      </c>
      <c r="G1" t="s">
        <v>88</v>
      </c>
      <c r="H1" t="s">
        <v>165</v>
      </c>
      <c r="I1" t="s">
        <v>48</v>
      </c>
      <c r="J1" t="s">
        <v>53</v>
      </c>
      <c r="K1" t="s">
        <v>54</v>
      </c>
      <c r="L1" t="s">
        <v>175</v>
      </c>
      <c r="M1" t="s">
        <v>176</v>
      </c>
      <c r="N1" t="s">
        <v>177</v>
      </c>
      <c r="O1" t="s">
        <v>178</v>
      </c>
      <c r="P1" t="s">
        <v>179</v>
      </c>
      <c r="Q1" t="s">
        <v>180</v>
      </c>
      <c r="R1" t="s">
        <v>181</v>
      </c>
      <c r="S1" t="s">
        <v>182</v>
      </c>
      <c r="T1" t="s">
        <v>183</v>
      </c>
      <c r="U1" t="s">
        <v>184</v>
      </c>
      <c r="V1" t="s">
        <v>185</v>
      </c>
      <c r="W1" t="s">
        <v>186</v>
      </c>
      <c r="X1" t="s">
        <v>187</v>
      </c>
      <c r="Y1" t="s">
        <v>188</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101</v>
      </c>
      <c r="AY1" t="s">
        <v>102</v>
      </c>
      <c r="AZ1" t="s">
        <v>103</v>
      </c>
      <c r="BA1" t="s">
        <v>104</v>
      </c>
      <c r="BB1" t="s">
        <v>105</v>
      </c>
      <c r="BC1" t="s">
        <v>106</v>
      </c>
      <c r="BD1" t="s">
        <v>107</v>
      </c>
      <c r="BE1"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L1"/>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8" x14ac:dyDescent="0.25">
      <c r="A1" t="s">
        <v>43</v>
      </c>
      <c r="B1" t="s">
        <v>44</v>
      </c>
      <c r="C1" t="s">
        <v>45</v>
      </c>
      <c r="D1" t="s">
        <v>46</v>
      </c>
      <c r="E1" t="s">
        <v>89</v>
      </c>
      <c r="F1" t="s">
        <v>90</v>
      </c>
      <c r="G1" t="s">
        <v>88</v>
      </c>
      <c r="H1" t="s">
        <v>166</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127</v>
      </c>
      <c r="AB1" t="s">
        <v>128</v>
      </c>
      <c r="AC1" t="s">
        <v>129</v>
      </c>
      <c r="AD1" t="s">
        <v>130</v>
      </c>
      <c r="AE1" t="s">
        <v>131</v>
      </c>
      <c r="AF1" t="s">
        <v>132</v>
      </c>
      <c r="AG1" t="s">
        <v>133</v>
      </c>
      <c r="AH1" t="s">
        <v>134</v>
      </c>
      <c r="AI1" t="s">
        <v>135</v>
      </c>
      <c r="AJ1" t="s">
        <v>136</v>
      </c>
      <c r="AK1" t="s">
        <v>137</v>
      </c>
      <c r="AL1" t="s">
        <v>138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U1"/>
  <sheetViews>
    <sheetView workbookViewId="0"/>
  </sheetViews>
  <sheetFormatPr defaultRowHeight="15" x14ac:dyDescent="0.25"/>
  <cols>
    <col min="1" max="9" width="11" customWidth="1"/>
    <col min="10" max="21" width="12" customWidth="1"/>
  </cols>
  <sheetData>
    <row r="1" spans="1:21"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c r="U1" t="s">
        <v>158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2023-08-22T14:27:28Z</dcterms:modified>
</cp:coreProperties>
</file>