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gorman\OneDrive - Microsoft\Oracle Docs\"/>
    </mc:Choice>
  </mc:AlternateContent>
  <xr:revisionPtr revIDLastSave="0" documentId="8_{4E059C62-0A78-413B-956F-2C2ADECE6AAA}" xr6:coauthVersionLast="47" xr6:coauthVersionMax="47" xr10:uidLastSave="{00000000-0000-0000-0000-000000000000}"/>
  <bookViews>
    <workbookView xWindow="40920" yWindow="-120" windowWidth="29040" windowHeight="16440" activeTab="1" xr2:uid="{B5A66F4D-52B7-4754-9584-EB2C94538BF5}"/>
  </bookViews>
  <sheets>
    <sheet name="AWR" sheetId="2" r:id="rId1"/>
    <sheet name="Calculations" sheetId="1" r:id="rId2"/>
    <sheet name="Architecture" sheetId="3" r:id="rId3"/>
  </sheets>
  <definedNames>
    <definedName name="BusyCPUfactor">AWR!$F$32</definedName>
    <definedName name="BusyCPUmultiplier">AWR!$F$33</definedName>
    <definedName name="HighCpuThreshold">AWR!$F$32</definedName>
    <definedName name="IoMetricsFactor">AWR!$F$30</definedName>
    <definedName name="PeakCPUfactor" localSheetId="0">AWR!$F$28</definedName>
    <definedName name="PeakCpuFactor">AWR!$F$28</definedName>
    <definedName name="PeakRAMfactor" localSheetId="0">AWR!$F$29</definedName>
    <definedName name="PeakRAMfactor">AWR!$F$29</definedName>
    <definedName name="vCPUHTFactor">AWR!$F$31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70" i="1" l="1"/>
  <c r="G70" i="1"/>
  <c r="F70" i="1"/>
  <c r="O66" i="1"/>
  <c r="C41" i="1"/>
  <c r="C42" i="1"/>
  <c r="D41" i="1"/>
  <c r="D42" i="1"/>
  <c r="E41" i="1"/>
  <c r="E42" i="1"/>
  <c r="F41" i="1"/>
  <c r="F42" i="1"/>
  <c r="G41" i="1"/>
  <c r="G42" i="1"/>
  <c r="H41" i="1"/>
  <c r="H42" i="1"/>
  <c r="I41" i="1"/>
  <c r="I42" i="1"/>
  <c r="J41" i="1"/>
  <c r="J42" i="1"/>
  <c r="K41" i="1"/>
  <c r="K42" i="1"/>
  <c r="C43" i="1"/>
  <c r="C44" i="1"/>
  <c r="D43" i="1"/>
  <c r="D44" i="1"/>
  <c r="E43" i="1"/>
  <c r="E44" i="1"/>
  <c r="F43" i="1"/>
  <c r="F44" i="1"/>
  <c r="G43" i="1"/>
  <c r="G44" i="1"/>
  <c r="H43" i="1"/>
  <c r="H44" i="1"/>
  <c r="I43" i="1"/>
  <c r="I44" i="1"/>
  <c r="J43" i="1"/>
  <c r="J44" i="1"/>
  <c r="K43" i="1"/>
  <c r="K44" i="1"/>
  <c r="C45" i="1"/>
  <c r="C46" i="1"/>
  <c r="D45" i="1"/>
  <c r="D46" i="1"/>
  <c r="E45" i="1"/>
  <c r="E46" i="1"/>
  <c r="F45" i="1"/>
  <c r="F46" i="1"/>
  <c r="G45" i="1"/>
  <c r="G46" i="1"/>
  <c r="H45" i="1"/>
  <c r="H46" i="1"/>
  <c r="I45" i="1"/>
  <c r="I46" i="1"/>
  <c r="J45" i="1"/>
  <c r="J46" i="1"/>
  <c r="K45" i="1"/>
  <c r="K46" i="1"/>
  <c r="D26" i="1"/>
  <c r="D27" i="1"/>
  <c r="D28" i="1"/>
  <c r="E26" i="1"/>
  <c r="E27" i="1"/>
  <c r="E28" i="1"/>
  <c r="F26" i="1"/>
  <c r="F27" i="1"/>
  <c r="F28" i="1"/>
  <c r="G26" i="1"/>
  <c r="G27" i="1"/>
  <c r="G28" i="1"/>
  <c r="H26" i="1"/>
  <c r="H27" i="1"/>
  <c r="H28" i="1"/>
  <c r="D9" i="1"/>
  <c r="D10" i="1"/>
  <c r="D11" i="1"/>
  <c r="D12" i="1"/>
  <c r="D13" i="1"/>
  <c r="E9" i="1"/>
  <c r="E10" i="1"/>
  <c r="E11" i="1"/>
  <c r="E12" i="1"/>
  <c r="E13" i="1"/>
  <c r="F9" i="1"/>
  <c r="F10" i="1"/>
  <c r="F11" i="1"/>
  <c r="F12" i="1"/>
  <c r="F13" i="1"/>
  <c r="G9" i="1"/>
  <c r="G10" i="1"/>
  <c r="G11" i="1"/>
  <c r="G12" i="1"/>
  <c r="G13" i="1"/>
  <c r="H9" i="1"/>
  <c r="H10" i="1"/>
  <c r="H11" i="1"/>
  <c r="H12" i="1"/>
  <c r="H13" i="1"/>
  <c r="R9" i="2"/>
  <c r="R10" i="2"/>
  <c r="R11" i="2"/>
  <c r="R12" i="2"/>
  <c r="R13" i="2"/>
  <c r="S9" i="2"/>
  <c r="S10" i="2"/>
  <c r="S11" i="2"/>
  <c r="S12" i="2"/>
  <c r="S13" i="2"/>
  <c r="T9" i="2"/>
  <c r="T10" i="2"/>
  <c r="T11" i="2"/>
  <c r="T12" i="2"/>
  <c r="T13" i="2"/>
  <c r="U9" i="2"/>
  <c r="U10" i="2"/>
  <c r="U11" i="2"/>
  <c r="U12" i="2"/>
  <c r="U13" i="2"/>
  <c r="V9" i="2"/>
  <c r="V10" i="2"/>
  <c r="V11" i="2"/>
  <c r="V12" i="2"/>
  <c r="V13" i="2"/>
  <c r="W9" i="2"/>
  <c r="W10" i="2"/>
  <c r="W11" i="2"/>
  <c r="W12" i="2"/>
  <c r="W13" i="2"/>
  <c r="R14" i="2"/>
  <c r="R15" i="2"/>
  <c r="R16" i="2"/>
  <c r="R17" i="2"/>
  <c r="R18" i="2"/>
  <c r="S14" i="2"/>
  <c r="S15" i="2"/>
  <c r="S16" i="2"/>
  <c r="S17" i="2"/>
  <c r="S18" i="2"/>
  <c r="T14" i="2"/>
  <c r="T15" i="2"/>
  <c r="T16" i="2"/>
  <c r="T17" i="2"/>
  <c r="T18" i="2"/>
  <c r="U14" i="2"/>
  <c r="U15" i="2"/>
  <c r="U16" i="2"/>
  <c r="U17" i="2"/>
  <c r="U18" i="2"/>
  <c r="V14" i="2"/>
  <c r="V15" i="2"/>
  <c r="V16" i="2"/>
  <c r="V17" i="2"/>
  <c r="V18" i="2"/>
  <c r="W14" i="2"/>
  <c r="W15" i="2"/>
  <c r="W16" i="2"/>
  <c r="W17" i="2"/>
  <c r="W18" i="2"/>
  <c r="H67" i="1"/>
  <c r="G67" i="1"/>
  <c r="F67" i="1"/>
  <c r="M66" i="1"/>
  <c r="H69" i="1" s="1"/>
  <c r="K66" i="1"/>
  <c r="H68" i="1" s="1"/>
  <c r="D35" i="1"/>
  <c r="E35" i="1"/>
  <c r="F35" i="1"/>
  <c r="G35" i="1"/>
  <c r="H35" i="1"/>
  <c r="D34" i="1"/>
  <c r="E34" i="1"/>
  <c r="F34" i="1"/>
  <c r="G34" i="1"/>
  <c r="H34" i="1"/>
  <c r="D33" i="1"/>
  <c r="E33" i="1"/>
  <c r="F33" i="1"/>
  <c r="G33" i="1"/>
  <c r="H33" i="1"/>
  <c r="D32" i="1"/>
  <c r="E32" i="1"/>
  <c r="F32" i="1"/>
  <c r="G32" i="1"/>
  <c r="H32" i="1"/>
  <c r="D20" i="1"/>
  <c r="E20" i="1"/>
  <c r="F20" i="1"/>
  <c r="G20" i="1"/>
  <c r="H20" i="1"/>
  <c r="D19" i="1"/>
  <c r="E19" i="1"/>
  <c r="F19" i="1"/>
  <c r="G19" i="1"/>
  <c r="H19" i="1"/>
  <c r="D18" i="1"/>
  <c r="E18" i="1"/>
  <c r="F18" i="1"/>
  <c r="G18" i="1"/>
  <c r="H18" i="1"/>
  <c r="D17" i="1"/>
  <c r="E17" i="1"/>
  <c r="F17" i="1"/>
  <c r="G17" i="1"/>
  <c r="H17" i="1"/>
  <c r="R24" i="2"/>
  <c r="S24" i="2"/>
  <c r="T24" i="2"/>
  <c r="U24" i="2"/>
  <c r="V24" i="2"/>
  <c r="W24" i="2"/>
  <c r="R23" i="2"/>
  <c r="S23" i="2"/>
  <c r="T23" i="2"/>
  <c r="U23" i="2"/>
  <c r="V23" i="2"/>
  <c r="W23" i="2"/>
  <c r="W8" i="2"/>
  <c r="W19" i="2"/>
  <c r="W20" i="2"/>
  <c r="W21" i="2"/>
  <c r="W22" i="2"/>
  <c r="W25" i="2"/>
  <c r="D25" i="1"/>
  <c r="H25" i="1" s="1"/>
  <c r="D29" i="1"/>
  <c r="H29" i="1" s="1"/>
  <c r="D30" i="1"/>
  <c r="H30" i="1" s="1"/>
  <c r="D31" i="1"/>
  <c r="H31" i="1" s="1"/>
  <c r="T8" i="2"/>
  <c r="T19" i="2"/>
  <c r="T20" i="2"/>
  <c r="T21" i="2"/>
  <c r="T22" i="2"/>
  <c r="T25" i="2"/>
  <c r="F68" i="1" l="1"/>
  <c r="H71" i="1"/>
  <c r="G68" i="1"/>
  <c r="F69" i="1"/>
  <c r="G69" i="1"/>
  <c r="C40" i="1"/>
  <c r="C47" i="1"/>
  <c r="C48" i="1"/>
  <c r="C49" i="1"/>
  <c r="D49" i="1"/>
  <c r="E49" i="1" s="1"/>
  <c r="V25" i="2"/>
  <c r="U25" i="2"/>
  <c r="S25" i="2"/>
  <c r="R25" i="2"/>
  <c r="V22" i="2"/>
  <c r="U22" i="2"/>
  <c r="S22" i="2"/>
  <c r="R22" i="2"/>
  <c r="V21" i="2"/>
  <c r="U21" i="2"/>
  <c r="S21" i="2"/>
  <c r="F49" i="1" s="1"/>
  <c r="H49" i="1" s="1"/>
  <c r="R21" i="2"/>
  <c r="G49" i="1" s="1"/>
  <c r="I49" i="1" s="1"/>
  <c r="V20" i="2"/>
  <c r="D48" i="1" s="1"/>
  <c r="E48" i="1" s="1"/>
  <c r="U20" i="2"/>
  <c r="S20" i="2"/>
  <c r="F48" i="1" s="1"/>
  <c r="H48" i="1" s="1"/>
  <c r="R20" i="2"/>
  <c r="G48" i="1" s="1"/>
  <c r="I48" i="1" s="1"/>
  <c r="V19" i="2"/>
  <c r="D47" i="1" s="1"/>
  <c r="E47" i="1" s="1"/>
  <c r="U19" i="2"/>
  <c r="S19" i="2"/>
  <c r="F47" i="1" s="1"/>
  <c r="H47" i="1" s="1"/>
  <c r="R19" i="2"/>
  <c r="G47" i="1" s="1"/>
  <c r="I47" i="1" s="1"/>
  <c r="V8" i="2"/>
  <c r="D40" i="1" s="1"/>
  <c r="E40" i="1" s="1"/>
  <c r="U8" i="2"/>
  <c r="S8" i="2"/>
  <c r="F40" i="1" s="1"/>
  <c r="H40" i="1" s="1"/>
  <c r="R8" i="2"/>
  <c r="F71" i="1" l="1"/>
  <c r="G71" i="1"/>
  <c r="G40" i="1"/>
  <c r="I40" i="1" s="1"/>
  <c r="G25" i="1"/>
  <c r="F30" i="1"/>
  <c r="F31" i="1"/>
  <c r="G30" i="1"/>
  <c r="G31" i="1"/>
  <c r="G8" i="1"/>
  <c r="G14" i="1"/>
  <c r="G16" i="1"/>
  <c r="G15" i="1" l="1"/>
  <c r="G21" i="1" s="1"/>
  <c r="G29" i="1"/>
  <c r="G50" i="1"/>
  <c r="I50" i="1"/>
  <c r="G36" i="1" l="1"/>
  <c r="F29" i="1"/>
  <c r="D14" i="1"/>
  <c r="H14" i="1" s="1"/>
  <c r="E14" i="1"/>
  <c r="F14" i="1"/>
  <c r="D15" i="1"/>
  <c r="H15" i="1" s="1"/>
  <c r="J48" i="1" s="1"/>
  <c r="K48" i="1" s="1"/>
  <c r="E15" i="1"/>
  <c r="F15" i="1"/>
  <c r="F16" i="1" l="1"/>
  <c r="E16" i="1"/>
  <c r="D16" i="1"/>
  <c r="H16" i="1" s="1"/>
  <c r="J49" i="1" s="1"/>
  <c r="K49" i="1" s="1"/>
  <c r="E29" i="1"/>
  <c r="E30" i="1"/>
  <c r="E31" i="1"/>
  <c r="D8" i="1"/>
  <c r="J47" i="1" l="1"/>
  <c r="K47" i="1" s="1"/>
  <c r="H36" i="1"/>
  <c r="H8" i="1"/>
  <c r="J40" i="1" s="1"/>
  <c r="K40" i="1" s="1"/>
  <c r="H50" i="1"/>
  <c r="F8" i="1"/>
  <c r="F25" i="1"/>
  <c r="F36" i="1" s="1"/>
  <c r="E8" i="1"/>
  <c r="E25" i="1"/>
  <c r="D50" i="1"/>
  <c r="F21" i="1" l="1"/>
  <c r="D21" i="1" l="1"/>
  <c r="E21" i="1"/>
  <c r="H21" i="1" l="1"/>
  <c r="E50" i="1" l="1"/>
  <c r="K50" i="1"/>
  <c r="D36" i="1" l="1"/>
  <c r="C50" i="1"/>
  <c r="E36" i="1"/>
  <c r="J50" i="1"/>
  <c r="F5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B7" authorId="0" shapeId="0" xr:uid="{56A208CC-F090-4244-A22D-D14CEC187070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C7" authorId="0" shapeId="0" xr:uid="{C9815722-1148-45F6-BFEF-819A3A9157C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D7" authorId="0" shapeId="0" xr:uid="{C1B73952-AB3A-45D0-8F3D-171B92CF44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E7" authorId="0" shapeId="0" xr:uid="{2F866C56-2DF9-4F7D-A28B-D86A3B4F708D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F7" authorId="0" shapeId="0" xr:uid="{187E827A-E0F9-4D33-8A52-BD9E495A4EEA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G7" authorId="0" shapeId="0" xr:uid="{BE60BDCB-E23C-4C23-94A0-6882BED9AB27}">
      <text>
        <r>
          <rPr>
            <b/>
            <sz val="9"/>
            <color indexed="81"/>
            <rFont val="Tahoma"/>
            <family val="2"/>
          </rPr>
          <t>Copied from "Time Model Statistics" section, statistic named "DB CPU", near top of AWR report</t>
        </r>
      </text>
    </comment>
    <comment ref="H7" authorId="0" shapeId="0" xr:uid="{F153907A-CCC9-4558-837C-D0EA52C98B0F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I7" authorId="0" shapeId="0" xr:uid="{D7ECFD29-03B9-4BC0-BC0E-0D346F569E45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J7" authorId="0" shapeId="0" xr:uid="{282237EF-3A8B-455F-807A-01CB607C789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  <comment ref="K7" authorId="0" shapeId="0" xr:uid="{FE210763-BA3D-487A-B5CE-EE8E7ADCC337}">
      <text>
        <r>
          <rPr>
            <b/>
            <sz val="9"/>
            <color indexed="81"/>
            <rFont val="Tahoma"/>
            <family val="2"/>
          </rPr>
          <t>Copied from "Instance CPU" section of AWR report</t>
        </r>
      </text>
    </comment>
    <comment ref="L7" authorId="0" shapeId="0" xr:uid="{A38CA77A-6314-4E8E-A582-BDE5DC1D13A5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M7" authorId="0" shapeId="0" xr:uid="{216063AB-2C8E-427D-BA6B-658FE2CEF262}">
      <text>
        <r>
          <rPr>
            <b/>
            <sz val="9"/>
            <color indexed="81"/>
            <rFont val="Tahoma"/>
            <family val="2"/>
          </rPr>
          <t>Copied from "Memory Statistics" section of AWR report</t>
        </r>
      </text>
    </comment>
    <comment ref="N7" authorId="0" shapeId="0" xr:uid="{413D77D7-83CD-4089-A85D-9B828B440DC2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O7" authorId="0" shapeId="0" xr:uid="{7ECB9D31-AE22-45F0-B917-DA1A7769C550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P7" authorId="0" shapeId="0" xr:uid="{B5DF301B-6330-4E35-897D-09D8A881C8F3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Q7" authorId="0" shapeId="0" xr:uid="{16F84460-D708-4A40-91B4-2DAC245170ED}">
      <text>
        <r>
          <rPr>
            <b/>
            <sz val="9"/>
            <color indexed="81"/>
            <rFont val="Tahoma"/>
            <family val="2"/>
          </rPr>
          <t>Copied from "Load Profile" section of AWR report</t>
        </r>
      </text>
    </comment>
    <comment ref="D28" authorId="0" shapeId="0" xr:uid="{E21E9859-F0CD-486F-879B-C2D9FF9A5B86}">
      <text>
        <r>
          <rPr>
            <b/>
            <sz val="9"/>
            <color indexed="81"/>
            <rFont val="Tahoma"/>
            <family val="2"/>
          </rPr>
          <t>Rationale for peak vCPU factor is that CPU utilization stays below 33% on average</t>
        </r>
      </text>
    </comment>
    <comment ref="D29" authorId="0" shapeId="0" xr:uid="{559BF7AC-E839-4692-88C8-D6A19E7A2859}">
      <text>
        <r>
          <rPr>
            <b/>
            <sz val="9"/>
            <color indexed="81"/>
            <rFont val="Tahoma"/>
            <family val="2"/>
          </rPr>
          <t>Rationale for vRAM factor is that SGA+PGA = (about 2/3 of total vRAM)</t>
        </r>
      </text>
    </comment>
    <comment ref="D30" authorId="0" shapeId="0" xr:uid="{622297FB-C5C4-472F-A57D-A14094C20285}">
      <text>
        <r>
          <rPr>
            <b/>
            <sz val="9"/>
            <color indexed="81"/>
            <rFont val="Tahoma"/>
            <family val="2"/>
          </rPr>
          <t>Rationale is that observed AWR readings are "average" and this multiplier is for "peak" readings</t>
        </r>
      </text>
    </comment>
    <comment ref="D31" authorId="0" shapeId="0" xr:uid="{FE59ACCB-AEBB-492F-9554-0BF53038DD4E}">
      <text>
        <r>
          <rPr>
            <b/>
            <sz val="9"/>
            <color indexed="81"/>
            <rFont val="Tahoma"/>
            <family val="2"/>
          </rPr>
          <t>Number of hyperthreads in an Azure VM</t>
        </r>
      </text>
    </comment>
    <comment ref="D32" authorId="0" shapeId="0" xr:uid="{59AAAF4A-6D4B-4B10-A95D-EF425EB83C9F}">
      <text>
        <r>
          <rPr>
            <b/>
            <sz val="9"/>
            <color indexed="81"/>
            <rFont val="Tahoma"/>
            <family val="2"/>
          </rPr>
          <t>Threshold for "%busy CPU" when server CPU utilization is high enough to imply "thrashing"</t>
        </r>
      </text>
    </comment>
    <comment ref="D33" authorId="0" shapeId="0" xr:uid="{D7427406-F23F-4D5F-80D5-ED4D30FD5BE5}">
      <text>
        <r>
          <rPr>
            <b/>
            <sz val="9"/>
            <color indexed="81"/>
            <rFont val="Tahoma"/>
            <family val="2"/>
          </rPr>
          <t>If "%busy CPU" is higher than threshold, use this multiplier when calculating Azure vCPUs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Timothy Gorman</author>
  </authors>
  <commentList>
    <comment ref="C7" authorId="0" shapeId="0" xr:uid="{6BAA05F8-624D-4588-8522-CC11285F9D58}">
      <text>
        <r>
          <rPr>
            <b/>
            <sz val="9"/>
            <color indexed="81"/>
            <rFont val="Tahoma"/>
            <family val="2"/>
          </rPr>
          <t>Copied from "Database Summary" section at very top of AWR report</t>
        </r>
      </text>
    </comment>
  </commentList>
</comments>
</file>

<file path=xl/sharedStrings.xml><?xml version="1.0" encoding="utf-8"?>
<sst xmlns="http://schemas.openxmlformats.org/spreadsheetml/2006/main" count="110" uniqueCount="83">
  <si>
    <t>DB Name</t>
  </si>
  <si>
    <t>Instance Name</t>
  </si>
  <si>
    <t>Host Name</t>
  </si>
  <si>
    <t>Read IOPS</t>
  </si>
  <si>
    <t>Write IOPS</t>
  </si>
  <si>
    <t>Total IOPS</t>
  </si>
  <si>
    <t>Est'd Azure vCPUs</t>
  </si>
  <si>
    <t>Total</t>
  </si>
  <si>
    <t>Est'd Azure vCPUs for avg load</t>
  </si>
  <si>
    <t>Est'd Azure vCPUs for peak load</t>
  </si>
  <si>
    <t>Elapsed Time (mins)</t>
  </si>
  <si>
    <t>DB Time (mins)</t>
  </si>
  <si>
    <t>Memory (GB)</t>
  </si>
  <si>
    <t>CPUs</t>
  </si>
  <si>
    <t>Cores</t>
  </si>
  <si>
    <t>AWR detail collected by database instance</t>
  </si>
  <si>
    <t>%busy CPU</t>
  </si>
  <si>
    <t>SGA use (MB)</t>
  </si>
  <si>
    <t>PGA use (MB)</t>
  </si>
  <si>
    <t>DB CPU (s)</t>
  </si>
  <si>
    <t>CPU total capacity (s)</t>
  </si>
  <si>
    <t>ORA use (GB)</t>
  </si>
  <si>
    <t>source CPU HT factor</t>
  </si>
  <si>
    <t>Add information from the AWR report, one row for each instance</t>
  </si>
  <si>
    <t>Please add rows by specifying DB Name, Instance Name, or Host Name as appropriate.</t>
  </si>
  <si>
    <t xml:space="preserve"> The calculated cells already have formulas to aggregate the AWR information added on the other worksheet appropriately.</t>
  </si>
  <si>
    <t>Name</t>
  </si>
  <si>
    <t>Host</t>
  </si>
  <si>
    <t>Read Throughput (MB/s)</t>
  </si>
  <si>
    <t>Write Throughput (MB/s)</t>
  </si>
  <si>
    <t>Total Throughput (MB/s)</t>
  </si>
  <si>
    <t>Est'd Azure IOPS for peak load</t>
  </si>
  <si>
    <t>Est'd Azure Throughput (MB/s) for peak load</t>
  </si>
  <si>
    <t>Est'd Azure vRAM for server</t>
  </si>
  <si>
    <t>Observed memory use (GB)</t>
  </si>
  <si>
    <t>Observed IOPS</t>
  </si>
  <si>
    <t>Observed Throughput (MB/s)</t>
  </si>
  <si>
    <t>%DB Time of Elapsed Time (aka Avg Active Sessions or "AAS")</t>
  </si>
  <si>
    <t>Observed memory (GiB) consumed only by Oracle</t>
  </si>
  <si>
    <t>Observed I/O throughput (MB/s)</t>
  </si>
  <si>
    <t>This worksheet should be password-protected when shared to prevent inadvertent erasure of formulas</t>
  </si>
  <si>
    <t>Calculated detail by database instance from AWR information</t>
  </si>
  <si>
    <t>Aggregated calculations by host from AWR information</t>
  </si>
  <si>
    <t>Aggregated calculations by database from AWR information</t>
  </si>
  <si>
    <t>Please enter specific information from the AWR report on this worksheet.</t>
  </si>
  <si>
    <t>Hint: please mouse-over column headers to view notes suggesting where to find metrics in AWR report</t>
  </si>
  <si>
    <t>Average Active Sessions</t>
  </si>
  <si>
    <t>Est'd Peak CPU factor</t>
  </si>
  <si>
    <t>Est'd Peak RAM factor</t>
  </si>
  <si>
    <t>Est'd Peak I/O factor</t>
  </si>
  <si>
    <t>%Busy CPU-thrashing threshold</t>
  </si>
  <si>
    <t>%Busy CPU-thrashing multiplier</t>
  </si>
  <si>
    <t>vCPU HT multiplier</t>
  </si>
  <si>
    <t>Name of "fudge factor" adjustable</t>
  </si>
  <si>
    <t>Setting</t>
  </si>
  <si>
    <t>Default value</t>
  </si>
  <si>
    <t>Please do not change the default values</t>
  </si>
  <si>
    <t>Possible recommendations:</t>
  </si>
  <si>
    <t>Calculated vCPU x vRAM:</t>
  </si>
  <si>
    <t>Monthly pricing</t>
  </si>
  <si>
    <t xml:space="preserve"> </t>
  </si>
  <si>
    <t>Quantity</t>
  </si>
  <si>
    <t>vCPU x vRAM</t>
  </si>
  <si>
    <t>Pay-as-you-go</t>
  </si>
  <si>
    <t>1-year</t>
  </si>
  <si>
    <t>3-year</t>
  </si>
  <si>
    <t>Storage Type</t>
  </si>
  <si>
    <t>Storage Cost</t>
  </si>
  <si>
    <t>OS Disk Type</t>
  </si>
  <si>
    <t>OS Disk Cost</t>
  </si>
  <si>
    <t>Compute Cost</t>
  </si>
  <si>
    <t>Total Monthly Azure Cost</t>
  </si>
  <si>
    <t>Notes</t>
  </si>
  <si>
    <t>Constrained vCPU sizes - Azure Virtual Machines | Microsoft Docs</t>
  </si>
  <si>
    <t>Recommendations:</t>
  </si>
  <si>
    <t>Architecture Example</t>
  </si>
  <si>
    <t>Backup Cost</t>
  </si>
  <si>
    <t>Backup Type</t>
  </si>
  <si>
    <t>VMs/Databases</t>
  </si>
  <si>
    <t>DBSize in GB</t>
  </si>
  <si>
    <t>Backup Size</t>
  </si>
  <si>
    <t>* Captured from the dbspace.sql</t>
  </si>
  <si>
    <t>Instructions for filling out this sizing assessment can be found here.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</si>
</sst>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_-* #,##0_-;\-* #,##0_-;_-* &quot;-&quot;??_-;_-@_-"/>
    <numFmt numFmtId="166" formatCode="&quot;$&quot;#,##0.00"/>
    <numFmt numFmtId="167" formatCode="&quot;$&quot;#,##0.0000"/>
  </numFmts>
  <fonts count="3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i/>
      <sz val="11"/>
      <color rgb="FFC0000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4"/>
      <color theme="4" tint="-0.249977111117893"/>
      <name val="Calibri"/>
      <family val="2"/>
      <scheme val="minor"/>
    </font>
    <font>
      <b/>
      <i/>
      <sz val="14"/>
      <color rgb="FF0070C0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2"/>
      <color theme="4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1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4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b/>
      <i/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4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horizontal="right" wrapText="1"/>
    </xf>
    <xf numFmtId="0" fontId="3" fillId="0" borderId="0" xfId="0" applyFont="1"/>
    <xf numFmtId="0" fontId="1" fillId="0" borderId="0" xfId="0" applyFont="1" applyAlignment="1">
      <alignment horizontal="left" vertical="top" wrapText="1"/>
    </xf>
    <xf numFmtId="0" fontId="7" fillId="2" borderId="0" xfId="0" applyFont="1" applyFill="1" applyAlignment="1">
      <alignment horizontal="left" vertical="top" wrapText="1"/>
    </xf>
    <xf numFmtId="164" fontId="6" fillId="0" borderId="0" xfId="0" applyNumberFormat="1" applyFont="1"/>
    <xf numFmtId="164" fontId="6" fillId="2" borderId="0" xfId="0" applyNumberFormat="1" applyFont="1" applyFill="1"/>
    <xf numFmtId="4" fontId="6" fillId="0" borderId="0" xfId="0" applyNumberFormat="1" applyFont="1"/>
    <xf numFmtId="4" fontId="6" fillId="2" borderId="0" xfId="0" applyNumberFormat="1" applyFont="1" applyFill="1"/>
    <xf numFmtId="3" fontId="6" fillId="2" borderId="0" xfId="0" applyNumberFormat="1" applyFont="1" applyFill="1"/>
    <xf numFmtId="3" fontId="6" fillId="0" borderId="0" xfId="0" applyNumberFormat="1" applyFont="1"/>
    <xf numFmtId="0" fontId="9" fillId="2" borderId="0" xfId="0" applyFont="1" applyFill="1" applyAlignment="1">
      <alignment horizontal="left" vertical="top" wrapText="1"/>
    </xf>
    <xf numFmtId="3" fontId="10" fillId="0" borderId="0" xfId="0" applyNumberFormat="1" applyFont="1"/>
    <xf numFmtId="3" fontId="10" fillId="2" borderId="0" xfId="0" applyNumberFormat="1" applyFont="1" applyFill="1"/>
    <xf numFmtId="0" fontId="8" fillId="0" borderId="0" xfId="0" applyFont="1"/>
    <xf numFmtId="0" fontId="11" fillId="0" borderId="0" xfId="0" applyFont="1"/>
    <xf numFmtId="4" fontId="8" fillId="0" borderId="0" xfId="0" applyNumberFormat="1" applyFont="1"/>
    <xf numFmtId="164" fontId="11" fillId="0" borderId="0" xfId="0" applyNumberFormat="1" applyFont="1"/>
    <xf numFmtId="0" fontId="11" fillId="0" borderId="0" xfId="0" applyFont="1" applyAlignment="1">
      <alignment horizontal="right"/>
    </xf>
    <xf numFmtId="165" fontId="6" fillId="0" borderId="0" xfId="0" applyNumberFormat="1" applyFont="1"/>
    <xf numFmtId="4" fontId="12" fillId="0" borderId="0" xfId="0" applyNumberFormat="1" applyFont="1"/>
    <xf numFmtId="3" fontId="12" fillId="0" borderId="0" xfId="0" applyNumberFormat="1" applyFont="1"/>
    <xf numFmtId="164" fontId="12" fillId="0" borderId="0" xfId="0" applyNumberFormat="1" applyFont="1"/>
    <xf numFmtId="165" fontId="12" fillId="0" borderId="0" xfId="0" applyNumberFormat="1" applyFont="1"/>
    <xf numFmtId="10" fontId="6" fillId="0" borderId="0" xfId="0" applyNumberFormat="1" applyFont="1"/>
    <xf numFmtId="1" fontId="13" fillId="0" borderId="0" xfId="0" applyNumberFormat="1" applyFont="1"/>
    <xf numFmtId="3" fontId="3" fillId="0" borderId="0" xfId="0" applyNumberFormat="1" applyFont="1"/>
    <xf numFmtId="1" fontId="3" fillId="0" borderId="0" xfId="0" applyNumberFormat="1" applyFont="1"/>
    <xf numFmtId="1" fontId="5" fillId="0" borderId="0" xfId="0" applyNumberFormat="1" applyFont="1"/>
    <xf numFmtId="0" fontId="6" fillId="0" borderId="0" xfId="0" applyFont="1"/>
    <xf numFmtId="0" fontId="0" fillId="0" borderId="0" xfId="0" applyAlignment="1">
      <alignment horizontal="right" wrapText="1"/>
    </xf>
    <xf numFmtId="3" fontId="13" fillId="0" borderId="0" xfId="0" applyNumberFormat="1" applyFont="1" applyAlignment="1">
      <alignment horizontal="right" vertical="top"/>
    </xf>
    <xf numFmtId="4" fontId="13" fillId="0" borderId="0" xfId="0" applyNumberFormat="1" applyFont="1" applyAlignment="1">
      <alignment horizontal="right"/>
    </xf>
    <xf numFmtId="4" fontId="13" fillId="0" borderId="0" xfId="0" applyNumberFormat="1" applyFont="1" applyAlignment="1">
      <alignment horizontal="right" vertical="top"/>
    </xf>
    <xf numFmtId="1" fontId="10" fillId="0" borderId="0" xfId="0" applyNumberFormat="1" applyFont="1"/>
    <xf numFmtId="10" fontId="12" fillId="0" borderId="0" xfId="0" applyNumberFormat="1" applyFont="1"/>
    <xf numFmtId="0" fontId="1" fillId="0" borderId="0" xfId="0" applyFont="1" applyAlignment="1">
      <alignment horizontal="right" vertical="top" wrapText="1"/>
    </xf>
    <xf numFmtId="0" fontId="14" fillId="0" borderId="0" xfId="0" applyFont="1"/>
    <xf numFmtId="0" fontId="15" fillId="0" borderId="0" xfId="0" applyFont="1" applyAlignment="1">
      <alignment horizontal="left" vertical="top" wrapText="1"/>
    </xf>
    <xf numFmtId="0" fontId="16" fillId="0" borderId="0" xfId="0" applyFont="1"/>
    <xf numFmtId="0" fontId="17" fillId="2" borderId="0" xfId="0" applyFont="1" applyFill="1" applyAlignment="1">
      <alignment horizontal="left" vertical="top" wrapText="1"/>
    </xf>
    <xf numFmtId="4" fontId="10" fillId="0" borderId="0" xfId="0" applyNumberFormat="1" applyFont="1"/>
    <xf numFmtId="4" fontId="10" fillId="2" borderId="0" xfId="0" applyNumberFormat="1" applyFont="1" applyFill="1"/>
    <xf numFmtId="1" fontId="10" fillId="2" borderId="0" xfId="0" applyNumberFormat="1" applyFont="1" applyFill="1"/>
    <xf numFmtId="0" fontId="17" fillId="2" borderId="0" xfId="0" applyFont="1" applyFill="1" applyAlignment="1">
      <alignment horizontal="right" vertical="top" wrapText="1"/>
    </xf>
    <xf numFmtId="164" fontId="13" fillId="0" borderId="0" xfId="0" applyNumberFormat="1" applyFont="1"/>
    <xf numFmtId="2" fontId="13" fillId="0" borderId="0" xfId="0" applyNumberFormat="1" applyFont="1"/>
    <xf numFmtId="164" fontId="13" fillId="2" borderId="0" xfId="0" applyNumberFormat="1" applyFont="1" applyFill="1"/>
    <xf numFmtId="2" fontId="13" fillId="2" borderId="0" xfId="0" applyNumberFormat="1" applyFont="1" applyFill="1"/>
    <xf numFmtId="4" fontId="13" fillId="0" borderId="0" xfId="0" applyNumberFormat="1" applyFont="1"/>
    <xf numFmtId="3" fontId="13" fillId="0" borderId="0" xfId="0" applyNumberFormat="1" applyFont="1"/>
    <xf numFmtId="4" fontId="13" fillId="2" borderId="0" xfId="0" applyNumberFormat="1" applyFont="1" applyFill="1"/>
    <xf numFmtId="10" fontId="13" fillId="2" borderId="0" xfId="0" applyNumberFormat="1" applyFont="1" applyFill="1"/>
    <xf numFmtId="3" fontId="13" fillId="2" borderId="0" xfId="0" applyNumberFormat="1" applyFont="1" applyFill="1"/>
    <xf numFmtId="1" fontId="13" fillId="2" borderId="0" xfId="0" applyNumberFormat="1" applyFont="1" applyFill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164" fontId="0" fillId="0" borderId="0" xfId="0" applyNumberFormat="1"/>
    <xf numFmtId="4" fontId="22" fillId="3" borderId="1" xfId="0" applyNumberFormat="1" applyFont="1" applyFill="1" applyBorder="1" applyAlignment="1">
      <alignment shrinkToFit="1"/>
    </xf>
    <xf numFmtId="2" fontId="22" fillId="3" borderId="1" xfId="0" applyNumberFormat="1" applyFont="1" applyFill="1" applyBorder="1"/>
    <xf numFmtId="3" fontId="22" fillId="3" borderId="1" xfId="0" applyNumberFormat="1" applyFont="1" applyFill="1" applyBorder="1" applyAlignment="1">
      <alignment shrinkToFit="1"/>
    </xf>
    <xf numFmtId="0" fontId="1" fillId="2" borderId="3" xfId="0" applyFont="1" applyFill="1" applyBorder="1"/>
    <xf numFmtId="0" fontId="21" fillId="2" borderId="7" xfId="0" applyFont="1" applyFill="1" applyBorder="1"/>
    <xf numFmtId="0" fontId="1" fillId="3" borderId="8" xfId="0" applyFont="1" applyFill="1" applyBorder="1" applyAlignment="1">
      <alignment shrinkToFit="1"/>
    </xf>
    <xf numFmtId="0" fontId="1" fillId="3" borderId="9" xfId="0" applyFont="1" applyFill="1" applyBorder="1" applyAlignment="1">
      <alignment shrinkToFit="1"/>
    </xf>
    <xf numFmtId="4" fontId="22" fillId="3" borderId="10" xfId="0" applyNumberFormat="1" applyFont="1" applyFill="1" applyBorder="1" applyAlignment="1">
      <alignment shrinkToFit="1"/>
    </xf>
    <xf numFmtId="0" fontId="1" fillId="2" borderId="2" xfId="0" applyFont="1" applyFill="1" applyBorder="1"/>
    <xf numFmtId="0" fontId="23" fillId="0" borderId="0" xfId="0" applyFont="1" applyAlignment="1">
      <alignment shrinkToFit="1"/>
    </xf>
    <xf numFmtId="4" fontId="0" fillId="4" borderId="6" xfId="0" applyNumberFormat="1" applyFill="1" applyBorder="1" applyAlignment="1">
      <alignment shrinkToFit="1"/>
    </xf>
    <xf numFmtId="4" fontId="0" fillId="4" borderId="4" xfId="0" applyNumberFormat="1" applyFill="1" applyBorder="1" applyAlignment="1">
      <alignment shrinkToFit="1"/>
    </xf>
    <xf numFmtId="2" fontId="0" fillId="4" borderId="4" xfId="0" applyNumberFormat="1" applyFill="1" applyBorder="1"/>
    <xf numFmtId="3" fontId="0" fillId="4" borderId="4" xfId="0" applyNumberFormat="1" applyFill="1" applyBorder="1" applyAlignment="1">
      <alignment shrinkToFit="1"/>
    </xf>
    <xf numFmtId="4" fontId="0" fillId="4" borderId="5" xfId="0" applyNumberFormat="1" applyFill="1" applyBorder="1" applyAlignment="1">
      <alignment shrinkToFit="1"/>
    </xf>
    <xf numFmtId="0" fontId="8" fillId="5" borderId="11" xfId="0" applyFont="1" applyFill="1" applyBorder="1"/>
    <xf numFmtId="0" fontId="8" fillId="5" borderId="12" xfId="0" applyFont="1" applyFill="1" applyBorder="1"/>
    <xf numFmtId="0" fontId="11" fillId="5" borderId="13" xfId="0" applyFont="1" applyFill="1" applyBorder="1"/>
    <xf numFmtId="0" fontId="1" fillId="6" borderId="14" xfId="0" applyFont="1" applyFill="1" applyBorder="1"/>
    <xf numFmtId="0" fontId="0" fillId="6" borderId="15" xfId="0" applyFill="1" applyBorder="1"/>
    <xf numFmtId="0" fontId="1" fillId="2" borderId="16" xfId="0" applyFont="1" applyFill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2" borderId="18" xfId="0" applyFont="1" applyFill="1" applyBorder="1" applyAlignment="1">
      <alignment horizontal="right"/>
    </xf>
    <xf numFmtId="0" fontId="1" fillId="2" borderId="19" xfId="0" applyFont="1" applyFill="1" applyBorder="1"/>
    <xf numFmtId="0" fontId="0" fillId="2" borderId="20" xfId="0" applyFill="1" applyBorder="1"/>
    <xf numFmtId="0" fontId="1" fillId="2" borderId="2" xfId="0" applyFont="1" applyFill="1" applyBorder="1" applyAlignment="1">
      <alignment horizontal="right"/>
    </xf>
    <xf numFmtId="0" fontId="1" fillId="2" borderId="6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6" borderId="1" xfId="0" applyFont="1" applyFill="1" applyBorder="1"/>
    <xf numFmtId="0" fontId="25" fillId="0" borderId="22" xfId="0" applyFont="1" applyBorder="1"/>
    <xf numFmtId="0" fontId="0" fillId="0" borderId="23" xfId="0" applyBorder="1"/>
    <xf numFmtId="0" fontId="26" fillId="0" borderId="18" xfId="0" applyFont="1" applyBorder="1" applyAlignment="1">
      <alignment horizontal="right"/>
    </xf>
    <xf numFmtId="0" fontId="26" fillId="0" borderId="1" xfId="0" applyFont="1" applyBorder="1" applyAlignment="1">
      <alignment horizontal="right"/>
    </xf>
    <xf numFmtId="166" fontId="27" fillId="0" borderId="16" xfId="0" applyNumberFormat="1" applyFont="1" applyBorder="1" applyAlignment="1">
      <alignment horizontal="right"/>
    </xf>
    <xf numFmtId="166" fontId="27" fillId="0" borderId="1" xfId="0" applyNumberFormat="1" applyFont="1" applyBorder="1"/>
    <xf numFmtId="167" fontId="0" fillId="0" borderId="16" xfId="0" applyNumberFormat="1" applyBorder="1"/>
    <xf numFmtId="0" fontId="0" fillId="0" borderId="1" xfId="0" applyBorder="1"/>
    <xf numFmtId="0" fontId="27" fillId="0" borderId="1" xfId="0" applyFont="1" applyBorder="1"/>
    <xf numFmtId="0" fontId="25" fillId="0" borderId="22" xfId="0" applyFont="1" applyBorder="1" applyAlignment="1">
      <alignment horizontal="left" vertical="top" wrapText="1"/>
    </xf>
    <xf numFmtId="0" fontId="25" fillId="0" borderId="24" xfId="0" applyFont="1" applyBorder="1"/>
    <xf numFmtId="0" fontId="25" fillId="0" borderId="23" xfId="0" applyFont="1" applyBorder="1"/>
    <xf numFmtId="0" fontId="25" fillId="0" borderId="24" xfId="0" applyFont="1" applyBorder="1" applyAlignment="1">
      <alignment horizontal="left" vertical="top" wrapText="1"/>
    </xf>
    <xf numFmtId="0" fontId="25" fillId="0" borderId="23" xfId="0" applyFont="1" applyBorder="1" applyAlignment="1">
      <alignment horizontal="left" vertical="top" wrapText="1"/>
    </xf>
    <xf numFmtId="0" fontId="25" fillId="0" borderId="25" xfId="0" applyFont="1" applyBorder="1" applyAlignment="1">
      <alignment horizontal="left" vertical="top" wrapText="1"/>
    </xf>
    <xf numFmtId="0" fontId="25" fillId="0" borderId="26" xfId="0" applyFont="1" applyBorder="1" applyAlignment="1">
      <alignment horizontal="left" vertical="top" wrapText="1"/>
    </xf>
    <xf numFmtId="0" fontId="0" fillId="0" borderId="27" xfId="0" applyBorder="1"/>
    <xf numFmtId="0" fontId="28" fillId="0" borderId="27" xfId="0" applyFont="1" applyBorder="1"/>
    <xf numFmtId="0" fontId="0" fillId="0" borderId="23" xfId="0" applyBorder="1" applyAlignment="1">
      <alignment wrapText="1"/>
    </xf>
    <xf numFmtId="0" fontId="26" fillId="0" borderId="27" xfId="0" applyFont="1" applyBorder="1" applyAlignment="1">
      <alignment horizontal="right"/>
    </xf>
    <xf numFmtId="166" fontId="28" fillId="0" borderId="28" xfId="0" applyNumberFormat="1" applyFont="1" applyBorder="1" applyAlignment="1">
      <alignment horizontal="right"/>
    </xf>
    <xf numFmtId="167" fontId="0" fillId="0" borderId="28" xfId="0" applyNumberFormat="1" applyBorder="1"/>
    <xf numFmtId="0" fontId="0" fillId="0" borderId="29" xfId="0" applyBorder="1"/>
    <xf numFmtId="0" fontId="28" fillId="0" borderId="30" xfId="0" applyFont="1" applyBorder="1"/>
    <xf numFmtId="0" fontId="0" fillId="0" borderId="31" xfId="0" applyBorder="1"/>
    <xf numFmtId="0" fontId="28" fillId="0" borderId="0" xfId="0" applyFont="1"/>
    <xf numFmtId="0" fontId="26" fillId="0" borderId="32" xfId="0" applyFont="1" applyBorder="1" applyAlignment="1">
      <alignment horizontal="right"/>
    </xf>
    <xf numFmtId="0" fontId="28" fillId="0" borderId="29" xfId="0" applyFont="1" applyBorder="1" applyAlignment="1">
      <alignment horizontal="right"/>
    </xf>
    <xf numFmtId="166" fontId="28" fillId="0" borderId="33" xfId="0" applyNumberFormat="1" applyFont="1" applyBorder="1" applyAlignment="1">
      <alignment horizontal="right"/>
    </xf>
    <xf numFmtId="166" fontId="28" fillId="0" borderId="34" xfId="0" applyNumberFormat="1" applyFont="1" applyBorder="1"/>
    <xf numFmtId="166" fontId="28" fillId="0" borderId="35" xfId="0" applyNumberFormat="1" applyFont="1" applyBorder="1"/>
    <xf numFmtId="0" fontId="26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29" fillId="0" borderId="1" xfId="0" applyFont="1" applyBorder="1"/>
    <xf numFmtId="166" fontId="0" fillId="0" borderId="0" xfId="0" applyNumberFormat="1"/>
    <xf numFmtId="0" fontId="9" fillId="0" borderId="0" xfId="0" applyFont="1"/>
    <xf numFmtId="0" fontId="21" fillId="0" borderId="0" xfId="0" applyFont="1" applyAlignment="1">
      <alignment horizontal="right"/>
    </xf>
    <xf numFmtId="0" fontId="32" fillId="0" borderId="0" xfId="0" applyFont="1" applyAlignment="1">
      <alignment horizontal="right"/>
    </xf>
    <xf numFmtId="0" fontId="8" fillId="9" borderId="0" xfId="0" applyFont="1" applyFill="1"/>
    <xf numFmtId="0" fontId="0" fillId="9" borderId="0" xfId="0" applyFill="1"/>
    <xf numFmtId="0" fontId="25" fillId="0" borderId="0" xfId="0" applyFont="1" applyAlignment="1">
      <alignment horizontal="center"/>
    </xf>
    <xf numFmtId="4" fontId="25" fillId="0" borderId="0" xfId="0" applyNumberFormat="1" applyFont="1" applyAlignment="1">
      <alignment horizontal="center"/>
    </xf>
    <xf numFmtId="1" fontId="25" fillId="0" borderId="0" xfId="0" applyNumberFormat="1" applyFont="1" applyAlignment="1">
      <alignment horizontal="center"/>
    </xf>
    <xf numFmtId="10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 vertical="top" wrapText="1"/>
    </xf>
    <xf numFmtId="4" fontId="25" fillId="0" borderId="0" xfId="0" applyNumberFormat="1" applyFont="1" applyAlignment="1">
      <alignment horizontal="right" vertical="top"/>
    </xf>
    <xf numFmtId="4" fontId="25" fillId="0" borderId="0" xfId="0" applyNumberFormat="1" applyFont="1" applyAlignment="1">
      <alignment horizontal="right"/>
    </xf>
    <xf numFmtId="167" fontId="0" fillId="0" borderId="19" xfId="0" applyNumberFormat="1" applyBorder="1"/>
    <xf numFmtId="0" fontId="29" fillId="7" borderId="0" xfId="0" applyFont="1" applyFill="1"/>
    <xf numFmtId="0" fontId="0" fillId="7" borderId="0" xfId="0" applyFill="1"/>
    <xf numFmtId="0" fontId="24" fillId="7" borderId="19" xfId="1" applyFill="1" applyBorder="1"/>
    <xf numFmtId="0" fontId="3" fillId="7" borderId="20" xfId="0" applyFont="1" applyFill="1" applyBorder="1"/>
    <xf numFmtId="0" fontId="0" fillId="7" borderId="20" xfId="0" applyFill="1" applyBorder="1"/>
    <xf numFmtId="0" fontId="0" fillId="7" borderId="37" xfId="0" applyFill="1" applyBorder="1"/>
    <xf numFmtId="0" fontId="29" fillId="7" borderId="38" xfId="0" applyFont="1" applyFill="1" applyBorder="1"/>
    <xf numFmtId="0" fontId="7" fillId="7" borderId="0" xfId="0" applyFont="1" applyFill="1"/>
    <xf numFmtId="0" fontId="0" fillId="7" borderId="39" xfId="0" applyFill="1" applyBorder="1"/>
    <xf numFmtId="0" fontId="0" fillId="7" borderId="38" xfId="0" applyFill="1" applyBorder="1"/>
    <xf numFmtId="0" fontId="3" fillId="7" borderId="0" xfId="0" applyFont="1" applyFill="1"/>
    <xf numFmtId="0" fontId="0" fillId="7" borderId="14" xfId="0" applyFill="1" applyBorder="1"/>
    <xf numFmtId="0" fontId="3" fillId="7" borderId="15" xfId="0" applyFont="1" applyFill="1" applyBorder="1"/>
    <xf numFmtId="0" fontId="0" fillId="7" borderId="15" xfId="0" applyFill="1" applyBorder="1"/>
    <xf numFmtId="0" fontId="0" fillId="7" borderId="40" xfId="0" applyFill="1" applyBorder="1"/>
    <xf numFmtId="0" fontId="1" fillId="8" borderId="19" xfId="0" applyFont="1" applyFill="1" applyBorder="1"/>
    <xf numFmtId="0" fontId="0" fillId="8" borderId="20" xfId="0" applyFill="1" applyBorder="1"/>
    <xf numFmtId="0" fontId="3" fillId="8" borderId="20" xfId="0" applyFont="1" applyFill="1" applyBorder="1"/>
    <xf numFmtId="0" fontId="0" fillId="8" borderId="37" xfId="0" applyFill="1" applyBorder="1"/>
    <xf numFmtId="0" fontId="0" fillId="8" borderId="38" xfId="0" applyFill="1" applyBorder="1"/>
    <xf numFmtId="0" fontId="0" fillId="8" borderId="0" xfId="0" applyFill="1"/>
    <xf numFmtId="0" fontId="3" fillId="8" borderId="0" xfId="0" applyFont="1" applyFill="1"/>
    <xf numFmtId="0" fontId="0" fillId="8" borderId="39" xfId="0" applyFill="1" applyBorder="1"/>
    <xf numFmtId="0" fontId="0" fillId="8" borderId="14" xfId="0" applyFill="1" applyBorder="1"/>
    <xf numFmtId="0" fontId="0" fillId="8" borderId="15" xfId="0" applyFill="1" applyBorder="1"/>
    <xf numFmtId="0" fontId="3" fillId="8" borderId="15" xfId="0" applyFont="1" applyFill="1" applyBorder="1"/>
    <xf numFmtId="0" fontId="0" fillId="8" borderId="40" xfId="0" applyFill="1" applyBorder="1"/>
    <xf numFmtId="0" fontId="27" fillId="0" borderId="16" xfId="0" applyFont="1" applyBorder="1"/>
    <xf numFmtId="0" fontId="27" fillId="0" borderId="28" xfId="0" applyFont="1" applyBorder="1"/>
    <xf numFmtId="0" fontId="33" fillId="0" borderId="27" xfId="0" applyFont="1" applyBorder="1"/>
    <xf numFmtId="0" fontId="1" fillId="0" borderId="27" xfId="0" applyFont="1" applyBorder="1"/>
    <xf numFmtId="166" fontId="30" fillId="10" borderId="29" xfId="0" applyNumberFormat="1" applyFont="1" applyFill="1" applyBorder="1"/>
    <xf numFmtId="166" fontId="31" fillId="10" borderId="31" xfId="0" applyNumberFormat="1" applyFont="1" applyFill="1" applyBorder="1"/>
    <xf numFmtId="166" fontId="30" fillId="10" borderId="36" xfId="0" applyNumberFormat="1" applyFont="1" applyFill="1" applyBorder="1"/>
    <xf numFmtId="0" fontId="26" fillId="0" borderId="29" xfId="0" applyFont="1" applyBorder="1"/>
    <xf numFmtId="0" fontId="29" fillId="0" borderId="36" xfId="0" applyFont="1" applyBorder="1"/>
    <xf numFmtId="0" fontId="34" fillId="0" borderId="0" xfId="0" applyFont="1" applyAlignment="1">
      <alignment horizontal="left" vertical="top" wrapText="1"/>
    </xf>
    <xf numFmtId="0" fontId="35" fillId="0" borderId="0" xfId="0" applyFont="1"/>
    <xf numFmtId="1" fontId="24" fillId="0" borderId="0" xfId="1" applyNumberFormat="1"/>
    <xf numFmtId="0" fontId="36" fillId="0" borderId="0" xfId="0" applyFont="1"/>
    <xf numFmtId="0" fontId="37" fillId="0" borderId="0" xfId="0" applyFont="1"/>
    <xf numFmtId="0" fontId="24" fillId="0" borderId="0" xfId="1"/>
  </cellXfs>
  <cellStyles count="2">
    <cellStyle name="Hyperlink" xfId="1" builtinId="8"/>
    <cellStyle name="Normal" xfId="0" builtinId="0"/>
  </cellStyles>
  <dxfs count="93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i/>
        <color rgb="FF0070C0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lef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2" formatCode="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164" formatCode="0.000%"/>
    </dxf>
    <dxf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family val="2"/>
        <scheme val="minor"/>
      </font>
      <alignment horizontal="right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3" formatCode="#,##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i/>
        <strike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4"/>
        <name val="Calibri"/>
        <family val="2"/>
        <scheme val="minor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  <alignment horizontal="right" vertical="top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14" formatCode="0.00%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4" formatCode="0.0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3" formatCode="#,##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family val="2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4" formatCode="#,##0.00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99EA96-9BF1-4ABD-A598-2B06611B48B2}" name="AWRData" displayName="AWRData" ref="B7:W25" headerRowDxfId="92">
  <autoFilter ref="B7:W25" xr:uid="{BAFCDA4E-1455-4186-B446-55AD7B6FF08E}"/>
  <tableColumns count="22">
    <tableColumn id="1" xr3:uid="{12DBE624-1E4C-43DE-8EBA-89FC03FB8A2E}" name="DB Name" totalsRowLabel="Total" dataDxfId="91" totalsRowDxfId="90"/>
    <tableColumn id="2" xr3:uid="{12EF2CB8-2718-4987-B485-71AAC2C42177}" name="Instance Name" dataDxfId="89" totalsRowDxfId="88"/>
    <tableColumn id="3" xr3:uid="{EE4D87CE-B854-4D79-98B0-4B433DE0DFC5}" name="Host Name" dataDxfId="87" totalsRowDxfId="86"/>
    <tableColumn id="18" xr3:uid="{9652353C-76B4-424D-B14E-4474B1D2E864}" name="Elapsed Time (mins)" totalsRowFunction="custom" dataDxfId="85" totalsRowDxfId="84">
      <totalsRowFormula>SUM(E8:E25)</totalsRowFormula>
    </tableColumn>
    <tableColumn id="4" xr3:uid="{E245B233-16D0-4175-B2B6-7CC6C7D5EC1E}" name="DB Time (mins)" totalsRowFunction="sum" dataDxfId="83" totalsRowDxfId="82"/>
    <tableColumn id="5" xr3:uid="{18DE2E70-642F-48C7-8588-E203573FBC6C}" name="DB CPU (s)" totalsRowFunction="sum" dataDxfId="81" totalsRowDxfId="80"/>
    <tableColumn id="17" xr3:uid="{CB45C1E7-36C0-4529-BD9C-742C452F7BAB}" name="CPUs" totalsRowFunction="custom" dataDxfId="79" totalsRowDxfId="78">
      <totalsRowFormula>SUM(H8:H25)</totalsRowFormula>
    </tableColumn>
    <tableColumn id="16" xr3:uid="{8DEF82EF-8D6D-43C8-9A6E-479EF081F1C5}" name="Cores" totalsRowFunction="custom" dataDxfId="77" totalsRowDxfId="76">
      <totalsRowFormula>SUM(I8:I25)</totalsRowFormula>
    </tableColumn>
    <tableColumn id="19" xr3:uid="{6CC3E0A3-0D85-416B-B5E5-E013322B324E}" name="Memory (GB)" totalsRowFunction="custom" dataDxfId="75" totalsRowDxfId="74">
      <totalsRowFormula>SUM(J8:J25)</totalsRowFormula>
    </tableColumn>
    <tableColumn id="20" xr3:uid="{801E69F7-F685-4E5B-89E7-B8236A24C142}" name="%busy CPU" totalsRowFunction="custom" dataDxfId="73" totalsRowDxfId="72">
      <totalsRowFormula>SUM(K8:K25)</totalsRowFormula>
    </tableColumn>
    <tableColumn id="8" xr3:uid="{D9D9DE5D-BFAF-4BB6-9C57-68AD5D802EE2}" name="SGA use (MB)" totalsRowFunction="sum" dataDxfId="71" totalsRowDxfId="70"/>
    <tableColumn id="9" xr3:uid="{12911006-64ED-4042-B1A5-C18EC5E137FE}" name="PGA use (MB)" totalsRowFunction="sum" dataDxfId="69" totalsRowDxfId="68"/>
    <tableColumn id="6" xr3:uid="{D6E85EB5-7EE1-48F6-A66E-B76E4EECD483}" name="Read Throughput (MB/s)" dataDxfId="67" totalsRowDxfId="66"/>
    <tableColumn id="7" xr3:uid="{F3F3AB13-35F9-4DE8-BCED-CC8576E3F23E}" name="Write Throughput (MB/s)" dataDxfId="65" totalsRowDxfId="64"/>
    <tableColumn id="10" xr3:uid="{BE4DE103-F7E4-4B9E-A27F-11EFFA4A99BF}" name="Read IOPS" totalsRowFunction="sum" dataDxfId="63" totalsRowDxfId="62"/>
    <tableColumn id="11" xr3:uid="{A52E7F8E-4721-4010-BECE-F070E24DDA1F}" name="Write IOPS" totalsRowFunction="sum" dataDxfId="61" totalsRowDxfId="60"/>
    <tableColumn id="15" xr3:uid="{F0C74357-6F45-494C-B3DC-D3215156DFFB}" name="Total Throughput (MB/s)" dataDxfId="59" totalsRowDxfId="58">
      <calculatedColumnFormula>N8+O8</calculatedColumnFormula>
    </tableColumn>
    <tableColumn id="12" xr3:uid="{A0F8EBD1-73A3-4ABE-B0BE-D33E8C7ADD32}" name="Total IOPS" totalsRowFunction="sum" dataDxfId="57" totalsRowDxfId="56">
      <calculatedColumnFormula>(P8+Q8)</calculatedColumnFormula>
    </tableColumn>
    <tableColumn id="22" xr3:uid="{12A4389A-523C-421D-BD24-6272B453F2CD}" name="Average Active Sessions" dataDxfId="55" totalsRowDxfId="54">
      <calculatedColumnFormula>F8/E8</calculatedColumnFormula>
    </tableColumn>
    <tableColumn id="13" xr3:uid="{3F2ED276-F76A-423E-8069-892C6C886ED0}" name="CPU total capacity (s)" totalsRowFunction="custom" dataDxfId="53">
      <calculatedColumnFormula>(E8*60)*H8</calculatedColumnFormula>
      <totalsRowFormula>SUM(U8:U25)</totalsRowFormula>
    </tableColumn>
    <tableColumn id="14" xr3:uid="{6D50E1DB-D2A8-4634-9623-2B8FF9FB8B97}" name="ORA use (GB)" totalsRowFunction="custom" dataDxfId="52">
      <calculatedColumnFormula>(L8+M8)/1024</calculatedColumnFormula>
      <totalsRowFormula>SUBTOTAL(109,#REF!)</totalsRowFormula>
    </tableColumn>
    <tableColumn id="21" xr3:uid="{06271738-5AFB-4416-88EC-0F36A42588B4}" name="source CPU HT factor" dataDxfId="51">
      <calculatedColumnFormula>H8/I8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922BF7B-4FDB-4416-A371-AA5DC723FDB7}" name="HostSummary" displayName="HostSummary" ref="B24:H36" totalsRowCount="1" headerRowDxfId="50" dataDxfId="49">
  <autoFilter ref="B24:H35" xr:uid="{2131DD88-95A4-4546-AD92-E31ADE17AE10}"/>
  <tableColumns count="7">
    <tableColumn id="1" xr3:uid="{E48AF7E1-022E-4559-9DF8-AA91B706DE37}" name="Host" totalsRowLabel="Total" dataDxfId="48"/>
    <tableColumn id="6" xr3:uid="{E7152265-984C-41C1-985E-AC0ACC8400BD}" name="Name"/>
    <tableColumn id="3" xr3:uid="{042A02F8-3035-4F96-B880-FF705D8AF8AD}" name="%DB Time of Elapsed Time (aka Avg Active Sessions or &quot;AAS&quot;)" totalsRowFunction="sum" dataDxfId="47" totalsRowDxfId="46">
      <calculatedColumnFormula>IF(HostSummary[[#This Row],[Host]]="","",SUMIFS(AWRData[Average Active Sessions],AWRData[Host Name],HostSummary[[#This Row],[Host]]))</calculatedColumnFormula>
    </tableColumn>
    <tableColumn id="10" xr3:uid="{85E8367C-F408-44E2-8D1A-47BCF5A88ABE}" name="Observed memory use (GB)" totalsRowFunction="sum" dataDxfId="45" totalsRowDxfId="44">
      <calculatedColumnFormula>IF(HostSummary[[#This Row],[Host]]="","",SUMIFS(AWRData[ORA use (GB)],AWRData[Host Name],HostSummary[[#This Row],[Host]]))</calculatedColumnFormula>
    </tableColumn>
    <tableColumn id="2" xr3:uid="{2617E88C-0FF4-4484-A29F-7A570C9BB22A}" name="Observed IOPS" totalsRowFunction="sum" dataDxfId="43" totalsRowDxfId="42">
      <calculatedColumnFormula>IF(HostSummary[[#This Row],[Host]]="","",SUMIFS(AWRData[Total IOPS],AWRData[Host Name],HostSummary[[#This Row],[Host]]))</calculatedColumnFormula>
    </tableColumn>
    <tableColumn id="4" xr3:uid="{D2224B36-6E90-4845-81DA-1DB10E1661B4}" name="Observed Throughput (MB/s)" totalsRowFunction="sum" dataDxfId="41" totalsRowDxfId="40">
      <calculatedColumnFormula>IF(HostSummary[[#This Row],[Host]]="","",SUMIFS(AWRData[Total Throughput (MB/s)],AWRData[Host Name],HostSummary[[#This Row],[Host]]))</calculatedColumnFormula>
    </tableColumn>
    <tableColumn id="7" xr3:uid="{5F50BA59-DA9E-4081-A285-AF05AEA4D31D}" name="Est'd Azure vCPUs" totalsRowFunction="sum" dataDxfId="39" totalsRowDxfId="38">
      <calculatedColumnFormula>IF(HostSummary[[#This Row],[Host]]="","",ROUND(HostSummary[[#This Row],[%DB Time of Elapsed Time (aka Avg Active Sessions or "AAS")]]+0.5,0)*(vCPUHTFactor/AVERAGEIFS(AWRData[source CPU HT factor],AWRData[Host Name],HostSummary[[#This Row],[Host]])))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A110F-4E35-4288-9661-A9C3BFF6A5DE}" name="DBSummary" displayName="DBSummary" ref="B39:M50" totalsRowCount="1" headerRowDxfId="37" dataDxfId="36">
  <autoFilter ref="B39:M49" xr:uid="{49AD5955-00E8-4584-8ED2-B99212AE569A}"/>
  <tableColumns count="12">
    <tableColumn id="1" xr3:uid="{F79507E8-49B9-479A-B974-70532B5FC009}" name="DB Name" totalsRowLabel="Total" dataDxfId="35"/>
    <tableColumn id="3" xr3:uid="{D14FF7E7-B38D-4451-8EE3-64724E717E5F}" name="%DB Time of Elapsed Time (aka Avg Active Sessions or &quot;AAS&quot;)" totalsRowFunction="sum" dataDxfId="34" totalsRowDxfId="33">
      <calculatedColumnFormula>IF(DBSummary[[#This Row],[DB Name]]="","",SUMIFS(AWRData[DB Time (mins)],AWRData[DB Name],DBSummary[[#This Row],[DB Name]])/SUMIFS(AWRData[Elapsed Time (mins)],AWRData[DB Name],DBSummary[[#This Row],[DB Name]]))</calculatedColumnFormula>
    </tableColumn>
    <tableColumn id="16" xr3:uid="{97990710-F178-485D-9D23-E739F22255D6}" name="Observed memory (GiB) consumed only by Oracle" totalsRowFunction="sum" dataDxfId="32" totalsRowDxfId="31">
      <calculatedColumnFormula>IF(DBSummary[[#This Row],[DB Name]]="","",SUMIFS(AWRData[ORA use (GB)],AWRData[DB Name],DBSummary[[#This Row],[DB Name]]))</calculatedColumnFormula>
    </tableColumn>
    <tableColumn id="12" xr3:uid="{FC52058A-56D5-46D8-B939-711474E1E53B}" name="Est'd Azure vRAM for server" totalsRowFunction="sum" dataDxfId="30" totalsRowDxfId="29">
      <calculatedColumnFormula>IF(DBSummary[[#This Row],[DB Name]]="","",PeakRAMfactor*DBSummary[[#This Row],[Observed memory (GiB) consumed only by Oracle]])</calculatedColumnFormula>
    </tableColumn>
    <tableColumn id="11" xr3:uid="{AB2CFCBB-C7A4-4993-BFD0-A84164ED0160}" name="Observed IOPS" totalsRowFunction="sum" dataDxfId="28" totalsRowDxfId="27">
      <calculatedColumnFormula>IF(DBSummary[[#This Row],[DB Name]]="","",SUMIFS(AWRData[Total IOPS],AWRData[DB Name],DBSummary[[#This Row],[DB Name]]))</calculatedColumnFormula>
    </tableColumn>
    <tableColumn id="5" xr3:uid="{28273868-E127-405F-B656-70C478E70B07}" name="Observed I/O throughput (MB/s)" totalsRowFunction="sum" dataDxfId="26" totalsRowDxfId="25">
      <calculatedColumnFormula>IF(DBSummary[[#This Row],[DB Name]]="","",SUMIFS(AWRData[Total Throughput (MB/s)],AWRData[DB Name],DBSummary[[#This Row],[DB Name]]))</calculatedColumnFormula>
    </tableColumn>
    <tableColumn id="10" xr3:uid="{80BD2CB6-EA97-4295-9D59-E9A2E6BF0BE9}" name="Est'd Azure IOPS for peak load" totalsRowFunction="sum" dataDxfId="24" totalsRowDxfId="23">
      <calculatedColumnFormula>IF(DBSummary[[#This Row],[DB Name]]="","",DBSummary[[#This Row],[Observed IOPS]]*IoMetricsFactor)</calculatedColumnFormula>
    </tableColumn>
    <tableColumn id="8" xr3:uid="{C38DB1AD-B018-489B-B3E6-31BE998C2B17}" name="Est'd Azure Throughput (MB/s) for peak load" totalsRowFunction="sum" dataDxfId="22" totalsRowDxfId="21">
      <calculatedColumnFormula>IF(DBSummary[[#This Row],[DB Name]]="","",DBSummary[[#This Row],[Observed I/O throughput (MB/s)]]*IoMetricsFactor)</calculatedColumnFormula>
    </tableColumn>
    <tableColumn id="6" xr3:uid="{AAFEF038-B223-49E2-B515-EC61D231972F}" name="Est'd Azure vCPUs for avg load" totalsRowFunction="sum" dataDxfId="20" totalsRowDxfId="19">
      <calculatedColumnFormula>IF(DBSummary[[#This Row],[DB Name]]="","",ROUND(SUMIFS(InstSummary[Est''d Azure vCPUs],InstSummary[DB Name],DBSummary[[#This Row],[DB Name]])+0.5,0))</calculatedColumnFormula>
    </tableColumn>
    <tableColumn id="13" xr3:uid="{C2AC7AFC-A986-44E6-BF2C-D020472151CF}" name="Est'd Azure vCPUs for peak load" totalsRowFunction="sum" dataDxfId="18" totalsRowDxfId="17">
      <calculatedColumnFormula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calculatedColumnFormula>
    </tableColumn>
    <tableColumn id="2" xr3:uid="{97176F21-5A5E-4D86-A5E8-1D18EFB35588}" name="DBSize in GB" dataDxfId="16" totalsRowDxfId="15"/>
    <tableColumn id="4" xr3:uid="{C80DD8E4-8AA0-41DA-8D7C-6DAE72C1D3B8}" name="Backup Size" dataDxfId="14" totalsRowDxfId="1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88EA0-C4A2-40CE-A0C2-1348922960F7}" name="InstSummary" displayName="InstSummary" ref="B7:H21" totalsRowCount="1" headerRowDxfId="12">
  <autoFilter ref="B7:H20" xr:uid="{DDC9EB0F-FC45-450E-9D91-FB84A3B2BFF9}"/>
  <tableColumns count="7">
    <tableColumn id="19" xr3:uid="{9D996974-BBE3-4BD2-A49E-7636AF84D9BD}" name="DB Name" dataDxfId="11"/>
    <tableColumn id="2" xr3:uid="{1EB02893-C83E-48B5-937F-61E7D4A0C092}" name="Instance Name" dataDxfId="10"/>
    <tableColumn id="5" xr3:uid="{FFDD672E-0E4E-4ADB-9E76-1EB11CF3E627}" name="%DB Time of Elapsed Time (aka Avg Active Sessions or &quot;AAS&quot;)" totalsRowFunction="sum" dataDxfId="9" totalsRowDxfId="8">
      <calculatedColumnFormula>IF(InstSummary[[#This Row],[Instance Name]]="","",SUMIFS(AWRData[DB Time (mins)],AWRData[Instance Name],InstSummary[[#This Row],[Instance Name]])/SUMIFS(AWRData[Elapsed Time (mins)],AWRData[Instance Name],InstSummary[[#This Row],[Instance Name]]))</calculatedColumnFormula>
    </tableColumn>
    <tableColumn id="14" xr3:uid="{EE92F036-09CB-4182-9F1C-C53D87FDFEA7}" name="Observed memory use (GB)" totalsRowFunction="sum" dataDxfId="7" totalsRowDxfId="6">
      <calculatedColumnFormula>IF(InstSummary[[#This Row],[Instance Name]]="","",SUMIFS(AWRData[ORA use (GB)],AWRData[Instance Name],InstSummary[[#This Row],[Instance Name]]))</calculatedColumnFormula>
    </tableColumn>
    <tableColumn id="12" xr3:uid="{E37AA9A5-8343-4F5A-BC1B-7C2420A8489D}" name="Observed IOPS" totalsRowFunction="sum" dataDxfId="5" totalsRowDxfId="4">
      <calculatedColumnFormula>IF(InstSummary[[#This Row],[Instance Name]]="","",SUMIFS(AWRData[Total IOPS],AWRData[Instance Name],InstSummary[[#This Row],[Instance Name]]))</calculatedColumnFormula>
    </tableColumn>
    <tableColumn id="3" xr3:uid="{0224C75E-ED5E-4C3C-9DED-03BD06F08298}" name="Observed Throughput (MB/s)" totalsRowFunction="sum" dataDxfId="3" totalsRowDxfId="2">
      <calculatedColumnFormula>IF(InstSummary[[#This Row],[Instance Name]]="","",SUMIFS(AWRData[Total Throughput (MB/s)],AWRData[Instance Name],InstSummary[[#This Row],[Instance Name]]))</calculatedColumnFormula>
    </tableColumn>
    <tableColumn id="13" xr3:uid="{8924F8A8-A9A4-4E8F-A3E7-F991630D6750}" name="Est'd Azure vCPUs" totalsRowFunction="sum" dataDxfId="1" totalsRowDxfId="0">
      <calculatedColumnFormula>IF(InstSummary[[#This Row],[Instance Name]]="","",InstSummary[[#This Row],[%DB Time of Elapsed Time (aka Avg Active Sessions or "AAS")]]*(vCPUHTFactor/SUMIFS(AWRData[source CPU HT factor],AWRData[Instance Name],InstSummary[[#This Row],[Instance Name]])))</calculatedColumnFormula>
    </tableColumn>
  </tableColumns>
  <tableStyleInfo name="TableStyleMedium9" showFirstColumn="0" showLastColumn="0" showRowStripes="1" showColumnStripes="0"/>
  <extLst>
    <ext xmlns:x14="http://schemas.microsoft.com/office/spreadsheetml/2009/9/main" uri="{504A1905-F514-4f6f-8877-14C23A59335A}">
      <x14:table altText="InstanceCalculations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zure/Oracle-Workloads-for-Azure/blob/main/az-oracle-sizing/AWR%20Sizing%20Instructions.pdf" TargetMode="External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4.xml"/><Relationship Id="rId2" Type="http://schemas.openxmlformats.org/officeDocument/2006/relationships/hyperlink" Target="https://github.com/Azure/Oracle-Workloads-for-Azure/blob/main/az-oracle-sizing/dbspace.sql" TargetMode="External"/><Relationship Id="rId1" Type="http://schemas.openxmlformats.org/officeDocument/2006/relationships/hyperlink" Target="https://docs.microsoft.com/en-us/azure/virtual-machines/constrained-vcpu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FA2F3-E8D6-461E-A2BF-3D4E8A581296}">
  <dimension ref="B1:W40"/>
  <sheetViews>
    <sheetView showGridLines="0" topLeftCell="A19" zoomScaleNormal="100" workbookViewId="0">
      <selection activeCell="I28" sqref="I28"/>
    </sheetView>
  </sheetViews>
  <sheetFormatPr defaultRowHeight="14.25" x14ac:dyDescent="0.45"/>
  <cols>
    <col min="1" max="1" width="4.1328125" customWidth="1"/>
    <col min="2" max="2" width="10.59765625" customWidth="1"/>
    <col min="3" max="3" width="15.3984375" customWidth="1"/>
    <col min="4" max="4" width="32.265625" customWidth="1"/>
    <col min="5" max="5" width="14.59765625" customWidth="1"/>
    <col min="6" max="6" width="12.59765625" style="3" customWidth="1"/>
    <col min="7" max="7" width="14.3984375" customWidth="1"/>
    <col min="8" max="8" width="12.59765625" style="3" customWidth="1"/>
    <col min="9" max="17" width="12.59765625" customWidth="1"/>
    <col min="18" max="18" width="12.59765625" style="40" hidden="1" customWidth="1"/>
    <col min="19" max="20" width="12.59765625" hidden="1" customWidth="1"/>
    <col min="21" max="21" width="13.86328125" hidden="1" customWidth="1"/>
    <col min="22" max="22" width="10.3984375" hidden="1" customWidth="1"/>
    <col min="23" max="23" width="11.1328125" hidden="1" customWidth="1"/>
    <col min="24" max="24" width="12.59765625" customWidth="1"/>
  </cols>
  <sheetData>
    <row r="1" spans="2:23" s="15" customFormat="1" ht="18" x14ac:dyDescent="0.55000000000000004">
      <c r="B1" s="15" t="s">
        <v>23</v>
      </c>
      <c r="F1" s="16"/>
      <c r="H1" s="16"/>
      <c r="R1" s="38"/>
    </row>
    <row r="2" spans="2:23" x14ac:dyDescent="0.45">
      <c r="B2" s="181" t="s">
        <v>82</v>
      </c>
    </row>
    <row r="3" spans="2:23" ht="21" x14ac:dyDescent="0.65">
      <c r="B3" s="179" t="s">
        <v>44</v>
      </c>
    </row>
    <row r="4" spans="2:23" s="57" customFormat="1" ht="15.75" x14ac:dyDescent="0.5">
      <c r="B4" s="180" t="s">
        <v>45</v>
      </c>
      <c r="F4" s="58"/>
      <c r="H4" s="58"/>
    </row>
    <row r="6" spans="2:23" s="15" customFormat="1" ht="18" x14ac:dyDescent="0.55000000000000004">
      <c r="B6" s="15" t="s">
        <v>15</v>
      </c>
      <c r="F6" s="16"/>
      <c r="H6" s="16"/>
      <c r="R6" s="38"/>
    </row>
    <row r="7" spans="2:23" s="2" customFormat="1" ht="42.75" x14ac:dyDescent="0.45">
      <c r="B7" s="4" t="s">
        <v>0</v>
      </c>
      <c r="C7" s="4" t="s">
        <v>1</v>
      </c>
      <c r="D7" s="4" t="s">
        <v>2</v>
      </c>
      <c r="E7" s="4" t="s">
        <v>10</v>
      </c>
      <c r="F7" s="4" t="s">
        <v>11</v>
      </c>
      <c r="G7" s="4" t="s">
        <v>19</v>
      </c>
      <c r="H7" s="4" t="s">
        <v>13</v>
      </c>
      <c r="I7" s="4" t="s">
        <v>14</v>
      </c>
      <c r="J7" s="4" t="s">
        <v>12</v>
      </c>
      <c r="K7" s="4" t="s">
        <v>16</v>
      </c>
      <c r="L7" s="4" t="s">
        <v>17</v>
      </c>
      <c r="M7" s="4" t="s">
        <v>18</v>
      </c>
      <c r="N7" s="4" t="s">
        <v>28</v>
      </c>
      <c r="O7" s="4" t="s">
        <v>29</v>
      </c>
      <c r="P7" s="4" t="s">
        <v>3</v>
      </c>
      <c r="Q7" s="4" t="s">
        <v>4</v>
      </c>
      <c r="R7" s="39" t="s">
        <v>30</v>
      </c>
      <c r="S7" s="4" t="s">
        <v>5</v>
      </c>
      <c r="T7" s="4" t="s">
        <v>46</v>
      </c>
      <c r="U7" s="4" t="s">
        <v>20</v>
      </c>
      <c r="V7" s="4" t="s">
        <v>21</v>
      </c>
      <c r="W7" s="4" t="s">
        <v>22</v>
      </c>
    </row>
    <row r="8" spans="2:23" s="31" customFormat="1" ht="15.4" x14ac:dyDescent="0.45">
      <c r="B8" s="132"/>
      <c r="C8" s="132"/>
      <c r="D8" s="132"/>
      <c r="E8" s="133"/>
      <c r="F8" s="133"/>
      <c r="G8" s="134"/>
      <c r="H8" s="134"/>
      <c r="I8" s="134"/>
      <c r="J8" s="133"/>
      <c r="K8" s="135"/>
      <c r="L8" s="134"/>
      <c r="M8" s="134"/>
      <c r="N8" s="133"/>
      <c r="O8" s="133"/>
      <c r="P8" s="133"/>
      <c r="Q8" s="133"/>
      <c r="R8" s="33">
        <f t="shared" ref="R8:R25" si="0">N8+O8</f>
        <v>0</v>
      </c>
      <c r="S8" s="33">
        <f t="shared" ref="S8:S25" si="1">(P8+Q8)</f>
        <v>0</v>
      </c>
      <c r="T8" s="33" t="e">
        <f t="shared" ref="T8:T25" si="2">F8/E8</f>
        <v>#DIV/0!</v>
      </c>
      <c r="U8" s="32">
        <f t="shared" ref="U8:U25" si="3">(E8*60)*H8</f>
        <v>0</v>
      </c>
      <c r="V8" s="32">
        <f t="shared" ref="V8:V25" si="4">(L8+M8)/1024</f>
        <v>0</v>
      </c>
      <c r="W8" s="34" t="e">
        <f t="shared" ref="W8:W25" si="5">H8/I8</f>
        <v>#DIV/0!</v>
      </c>
    </row>
    <row r="9" spans="2:23" s="31" customFormat="1" ht="15.4" x14ac:dyDescent="0.45">
      <c r="B9" s="132"/>
      <c r="C9" s="132"/>
      <c r="D9" s="132"/>
      <c r="E9" s="133"/>
      <c r="F9" s="133"/>
      <c r="G9" s="134"/>
      <c r="H9" s="134"/>
      <c r="I9" s="134"/>
      <c r="J9" s="133"/>
      <c r="K9" s="135"/>
      <c r="L9" s="134"/>
      <c r="M9" s="134"/>
      <c r="N9" s="137"/>
      <c r="O9" s="137"/>
      <c r="P9" s="133"/>
      <c r="Q9" s="138"/>
      <c r="R9" s="33">
        <f t="shared" ref="R9:R13" si="6">N9+O9</f>
        <v>0</v>
      </c>
      <c r="S9" s="33">
        <f t="shared" ref="S9:S13" si="7">(P9+Q9)</f>
        <v>0</v>
      </c>
      <c r="T9" s="33" t="e">
        <f t="shared" ref="T9:T13" si="8">F9/E9</f>
        <v>#DIV/0!</v>
      </c>
      <c r="U9" s="32">
        <f t="shared" ref="U9:U13" si="9">(E9*60)*H9</f>
        <v>0</v>
      </c>
      <c r="V9" s="32">
        <f t="shared" ref="V9:V13" si="10">(L9+M9)/1024</f>
        <v>0</v>
      </c>
      <c r="W9" s="34" t="e">
        <f t="shared" ref="W9:W13" si="11">H9/I9</f>
        <v>#DIV/0!</v>
      </c>
    </row>
    <row r="10" spans="2:23" s="31" customFormat="1" ht="15.4" x14ac:dyDescent="0.45">
      <c r="B10" s="132"/>
      <c r="C10" s="132"/>
      <c r="D10" s="132"/>
      <c r="E10" s="133"/>
      <c r="F10" s="133"/>
      <c r="G10" s="134"/>
      <c r="H10" s="134"/>
      <c r="I10" s="134"/>
      <c r="J10" s="133"/>
      <c r="K10" s="135"/>
      <c r="L10" s="134"/>
      <c r="M10" s="134"/>
      <c r="N10" s="137"/>
      <c r="O10" s="137"/>
      <c r="P10" s="133"/>
      <c r="Q10" s="138"/>
      <c r="R10" s="33">
        <f t="shared" si="6"/>
        <v>0</v>
      </c>
      <c r="S10" s="33">
        <f t="shared" si="7"/>
        <v>0</v>
      </c>
      <c r="T10" s="33" t="e">
        <f t="shared" si="8"/>
        <v>#DIV/0!</v>
      </c>
      <c r="U10" s="32">
        <f t="shared" si="9"/>
        <v>0</v>
      </c>
      <c r="V10" s="32">
        <f t="shared" si="10"/>
        <v>0</v>
      </c>
      <c r="W10" s="34" t="e">
        <f t="shared" si="11"/>
        <v>#DIV/0!</v>
      </c>
    </row>
    <row r="11" spans="2:23" s="31" customFormat="1" ht="15.4" x14ac:dyDescent="0.45">
      <c r="B11" s="132"/>
      <c r="C11" s="132"/>
      <c r="D11" s="132"/>
      <c r="E11" s="133"/>
      <c r="F11" s="133"/>
      <c r="G11" s="134"/>
      <c r="H11" s="134"/>
      <c r="I11" s="134"/>
      <c r="J11" s="133"/>
      <c r="K11" s="135"/>
      <c r="L11" s="134"/>
      <c r="M11" s="134"/>
      <c r="N11" s="137"/>
      <c r="O11" s="137"/>
      <c r="P11" s="133"/>
      <c r="Q11" s="138"/>
      <c r="R11" s="33">
        <f t="shared" si="6"/>
        <v>0</v>
      </c>
      <c r="S11" s="33">
        <f t="shared" si="7"/>
        <v>0</v>
      </c>
      <c r="T11" s="33" t="e">
        <f t="shared" si="8"/>
        <v>#DIV/0!</v>
      </c>
      <c r="U11" s="32">
        <f t="shared" si="9"/>
        <v>0</v>
      </c>
      <c r="V11" s="32">
        <f t="shared" si="10"/>
        <v>0</v>
      </c>
      <c r="W11" s="34" t="e">
        <f t="shared" si="11"/>
        <v>#DIV/0!</v>
      </c>
    </row>
    <row r="12" spans="2:23" s="31" customFormat="1" ht="15.4" x14ac:dyDescent="0.45">
      <c r="B12" s="132"/>
      <c r="C12" s="132"/>
      <c r="D12" s="132"/>
      <c r="E12" s="133"/>
      <c r="F12" s="133"/>
      <c r="G12" s="134"/>
      <c r="H12" s="134"/>
      <c r="I12" s="134"/>
      <c r="J12" s="133"/>
      <c r="K12" s="135"/>
      <c r="L12" s="134"/>
      <c r="M12" s="134"/>
      <c r="N12" s="137"/>
      <c r="O12" s="137"/>
      <c r="P12" s="133"/>
      <c r="Q12" s="138"/>
      <c r="R12" s="33">
        <f t="shared" si="6"/>
        <v>0</v>
      </c>
      <c r="S12" s="33">
        <f t="shared" si="7"/>
        <v>0</v>
      </c>
      <c r="T12" s="33" t="e">
        <f t="shared" si="8"/>
        <v>#DIV/0!</v>
      </c>
      <c r="U12" s="32">
        <f t="shared" si="9"/>
        <v>0</v>
      </c>
      <c r="V12" s="32">
        <f t="shared" si="10"/>
        <v>0</v>
      </c>
      <c r="W12" s="34" t="e">
        <f t="shared" si="11"/>
        <v>#DIV/0!</v>
      </c>
    </row>
    <row r="13" spans="2:23" s="31" customFormat="1" ht="15.4" x14ac:dyDescent="0.45">
      <c r="B13" s="132"/>
      <c r="C13" s="132"/>
      <c r="D13" s="132"/>
      <c r="E13" s="133"/>
      <c r="F13" s="133"/>
      <c r="G13" s="134"/>
      <c r="H13" s="134"/>
      <c r="I13" s="134"/>
      <c r="J13" s="133"/>
      <c r="K13" s="135"/>
      <c r="L13" s="134"/>
      <c r="M13" s="134"/>
      <c r="N13" s="137"/>
      <c r="O13" s="137"/>
      <c r="P13" s="133"/>
      <c r="Q13" s="138"/>
      <c r="R13" s="33">
        <f t="shared" si="6"/>
        <v>0</v>
      </c>
      <c r="S13" s="33">
        <f t="shared" si="7"/>
        <v>0</v>
      </c>
      <c r="T13" s="33" t="e">
        <f t="shared" si="8"/>
        <v>#DIV/0!</v>
      </c>
      <c r="U13" s="32">
        <f t="shared" si="9"/>
        <v>0</v>
      </c>
      <c r="V13" s="32">
        <f t="shared" si="10"/>
        <v>0</v>
      </c>
      <c r="W13" s="34" t="e">
        <f t="shared" si="11"/>
        <v>#DIV/0!</v>
      </c>
    </row>
    <row r="14" spans="2:23" s="31" customFormat="1" ht="15.4" x14ac:dyDescent="0.45">
      <c r="B14" s="132"/>
      <c r="C14" s="132"/>
      <c r="D14" s="132"/>
      <c r="E14" s="133"/>
      <c r="F14" s="133"/>
      <c r="G14" s="134"/>
      <c r="H14" s="134"/>
      <c r="I14" s="134"/>
      <c r="J14" s="133"/>
      <c r="K14" s="135"/>
      <c r="L14" s="134"/>
      <c r="M14" s="134"/>
      <c r="N14" s="137"/>
      <c r="O14" s="137"/>
      <c r="P14" s="133"/>
      <c r="Q14" s="138"/>
      <c r="R14" s="33">
        <f t="shared" ref="R14:R18" si="12">N14+O14</f>
        <v>0</v>
      </c>
      <c r="S14" s="33">
        <f t="shared" ref="S14:S18" si="13">(P14+Q14)</f>
        <v>0</v>
      </c>
      <c r="T14" s="33" t="e">
        <f t="shared" ref="T14:T18" si="14">F14/E14</f>
        <v>#DIV/0!</v>
      </c>
      <c r="U14" s="32">
        <f t="shared" ref="U14:U18" si="15">(E14*60)*H14</f>
        <v>0</v>
      </c>
      <c r="V14" s="32">
        <f t="shared" ref="V14:V18" si="16">(L14+M14)/1024</f>
        <v>0</v>
      </c>
      <c r="W14" s="34" t="e">
        <f t="shared" ref="W14:W18" si="17">H14/I14</f>
        <v>#DIV/0!</v>
      </c>
    </row>
    <row r="15" spans="2:23" s="31" customFormat="1" ht="15.4" x14ac:dyDescent="0.45">
      <c r="B15" s="132"/>
      <c r="C15" s="132"/>
      <c r="D15" s="132"/>
      <c r="E15" s="133"/>
      <c r="F15" s="133"/>
      <c r="G15" s="134"/>
      <c r="H15" s="134"/>
      <c r="I15" s="134"/>
      <c r="J15" s="133"/>
      <c r="K15" s="135"/>
      <c r="L15" s="134"/>
      <c r="M15" s="134"/>
      <c r="N15" s="137"/>
      <c r="O15" s="137"/>
      <c r="P15" s="133"/>
      <c r="Q15" s="138"/>
      <c r="R15" s="33">
        <f t="shared" si="12"/>
        <v>0</v>
      </c>
      <c r="S15" s="33">
        <f t="shared" si="13"/>
        <v>0</v>
      </c>
      <c r="T15" s="33" t="e">
        <f t="shared" si="14"/>
        <v>#DIV/0!</v>
      </c>
      <c r="U15" s="32">
        <f t="shared" si="15"/>
        <v>0</v>
      </c>
      <c r="V15" s="32">
        <f t="shared" si="16"/>
        <v>0</v>
      </c>
      <c r="W15" s="34" t="e">
        <f t="shared" si="17"/>
        <v>#DIV/0!</v>
      </c>
    </row>
    <row r="16" spans="2:23" s="31" customFormat="1" ht="15.4" x14ac:dyDescent="0.45">
      <c r="B16" s="132"/>
      <c r="C16" s="132"/>
      <c r="D16" s="132"/>
      <c r="E16" s="133"/>
      <c r="F16" s="133"/>
      <c r="G16" s="134"/>
      <c r="H16" s="134"/>
      <c r="I16" s="134"/>
      <c r="J16" s="133"/>
      <c r="K16" s="135"/>
      <c r="L16" s="134"/>
      <c r="M16" s="134"/>
      <c r="N16" s="137"/>
      <c r="O16" s="137"/>
      <c r="P16" s="133"/>
      <c r="Q16" s="138"/>
      <c r="R16" s="33">
        <f t="shared" si="12"/>
        <v>0</v>
      </c>
      <c r="S16" s="33">
        <f t="shared" si="13"/>
        <v>0</v>
      </c>
      <c r="T16" s="33" t="e">
        <f t="shared" si="14"/>
        <v>#DIV/0!</v>
      </c>
      <c r="U16" s="32">
        <f t="shared" si="15"/>
        <v>0</v>
      </c>
      <c r="V16" s="32">
        <f t="shared" si="16"/>
        <v>0</v>
      </c>
      <c r="W16" s="34" t="e">
        <f t="shared" si="17"/>
        <v>#DIV/0!</v>
      </c>
    </row>
    <row r="17" spans="2:23" s="31" customFormat="1" ht="15.4" x14ac:dyDescent="0.45">
      <c r="B17" s="132"/>
      <c r="C17" s="132"/>
      <c r="D17" s="132"/>
      <c r="E17" s="133"/>
      <c r="F17" s="133"/>
      <c r="G17" s="134"/>
      <c r="H17" s="134"/>
      <c r="I17" s="134"/>
      <c r="J17" s="133"/>
      <c r="K17" s="135"/>
      <c r="L17" s="134"/>
      <c r="M17" s="134"/>
      <c r="N17" s="137"/>
      <c r="O17" s="137"/>
      <c r="P17" s="133"/>
      <c r="Q17" s="138"/>
      <c r="R17" s="33">
        <f t="shared" si="12"/>
        <v>0</v>
      </c>
      <c r="S17" s="33">
        <f t="shared" si="13"/>
        <v>0</v>
      </c>
      <c r="T17" s="33" t="e">
        <f t="shared" si="14"/>
        <v>#DIV/0!</v>
      </c>
      <c r="U17" s="32">
        <f t="shared" si="15"/>
        <v>0</v>
      </c>
      <c r="V17" s="32">
        <f t="shared" si="16"/>
        <v>0</v>
      </c>
      <c r="W17" s="34" t="e">
        <f t="shared" si="17"/>
        <v>#DIV/0!</v>
      </c>
    </row>
    <row r="18" spans="2:23" s="31" customFormat="1" ht="15.4" x14ac:dyDescent="0.45">
      <c r="B18" s="132"/>
      <c r="C18" s="132"/>
      <c r="D18" s="132"/>
      <c r="E18" s="133"/>
      <c r="F18" s="133"/>
      <c r="G18" s="134"/>
      <c r="H18" s="134"/>
      <c r="I18" s="134"/>
      <c r="J18" s="133"/>
      <c r="K18" s="135"/>
      <c r="L18" s="134"/>
      <c r="M18" s="134"/>
      <c r="N18" s="137"/>
      <c r="O18" s="137"/>
      <c r="P18" s="133"/>
      <c r="Q18" s="138"/>
      <c r="R18" s="33">
        <f t="shared" si="12"/>
        <v>0</v>
      </c>
      <c r="S18" s="33">
        <f t="shared" si="13"/>
        <v>0</v>
      </c>
      <c r="T18" s="33" t="e">
        <f t="shared" si="14"/>
        <v>#DIV/0!</v>
      </c>
      <c r="U18" s="32">
        <f t="shared" si="15"/>
        <v>0</v>
      </c>
      <c r="V18" s="32">
        <f t="shared" si="16"/>
        <v>0</v>
      </c>
      <c r="W18" s="34" t="e">
        <f t="shared" si="17"/>
        <v>#DIV/0!</v>
      </c>
    </row>
    <row r="19" spans="2:23" ht="15.4" x14ac:dyDescent="0.45">
      <c r="B19" s="132"/>
      <c r="C19" s="132"/>
      <c r="D19" s="132"/>
      <c r="E19" s="133"/>
      <c r="F19" s="133"/>
      <c r="G19" s="134"/>
      <c r="H19" s="134"/>
      <c r="I19" s="134"/>
      <c r="J19" s="133"/>
      <c r="K19" s="135"/>
      <c r="L19" s="134"/>
      <c r="M19" s="134"/>
      <c r="N19" s="133"/>
      <c r="O19" s="133"/>
      <c r="P19" s="133"/>
      <c r="Q19" s="133"/>
      <c r="R19" s="33">
        <f t="shared" si="0"/>
        <v>0</v>
      </c>
      <c r="S19" s="33">
        <f t="shared" si="1"/>
        <v>0</v>
      </c>
      <c r="T19" s="33" t="e">
        <f t="shared" si="2"/>
        <v>#DIV/0!</v>
      </c>
      <c r="U19" s="32">
        <f t="shared" si="3"/>
        <v>0</v>
      </c>
      <c r="V19" s="32">
        <f t="shared" si="4"/>
        <v>0</v>
      </c>
      <c r="W19" s="34" t="e">
        <f t="shared" si="5"/>
        <v>#DIV/0!</v>
      </c>
    </row>
    <row r="20" spans="2:23" s="31" customFormat="1" ht="15.4" x14ac:dyDescent="0.45">
      <c r="B20" s="132"/>
      <c r="C20" s="136"/>
      <c r="D20" s="132"/>
      <c r="E20" s="133"/>
      <c r="F20" s="133"/>
      <c r="G20" s="134"/>
      <c r="H20" s="134"/>
      <c r="I20" s="134"/>
      <c r="J20" s="133"/>
      <c r="K20" s="135"/>
      <c r="L20" s="134"/>
      <c r="M20" s="134"/>
      <c r="N20" s="133"/>
      <c r="O20" s="133"/>
      <c r="P20" s="133"/>
      <c r="Q20" s="133"/>
      <c r="R20" s="33">
        <f t="shared" si="0"/>
        <v>0</v>
      </c>
      <c r="S20" s="33">
        <f t="shared" si="1"/>
        <v>0</v>
      </c>
      <c r="T20" s="33" t="e">
        <f t="shared" si="2"/>
        <v>#DIV/0!</v>
      </c>
      <c r="U20" s="32">
        <f t="shared" si="3"/>
        <v>0</v>
      </c>
      <c r="V20" s="32">
        <f t="shared" si="4"/>
        <v>0</v>
      </c>
      <c r="W20" s="34" t="e">
        <f t="shared" si="5"/>
        <v>#DIV/0!</v>
      </c>
    </row>
    <row r="21" spans="2:23" s="31" customFormat="1" ht="15.4" x14ac:dyDescent="0.45">
      <c r="B21" s="132"/>
      <c r="C21" s="136"/>
      <c r="D21" s="132"/>
      <c r="E21" s="133"/>
      <c r="F21" s="133"/>
      <c r="G21" s="134"/>
      <c r="H21" s="134"/>
      <c r="I21" s="134"/>
      <c r="J21" s="133"/>
      <c r="K21" s="135"/>
      <c r="L21" s="134"/>
      <c r="M21" s="134"/>
      <c r="N21" s="133"/>
      <c r="O21" s="133"/>
      <c r="P21" s="133"/>
      <c r="Q21" s="133"/>
      <c r="R21" s="33">
        <f t="shared" si="0"/>
        <v>0</v>
      </c>
      <c r="S21" s="33">
        <f t="shared" si="1"/>
        <v>0</v>
      </c>
      <c r="T21" s="33" t="e">
        <f t="shared" si="2"/>
        <v>#DIV/0!</v>
      </c>
      <c r="U21" s="32">
        <f t="shared" si="3"/>
        <v>0</v>
      </c>
      <c r="V21" s="32">
        <f t="shared" si="4"/>
        <v>0</v>
      </c>
      <c r="W21" s="34" t="e">
        <f t="shared" si="5"/>
        <v>#DIV/0!</v>
      </c>
    </row>
    <row r="22" spans="2:23" s="31" customFormat="1" ht="15.4" x14ac:dyDescent="0.45">
      <c r="B22" s="132"/>
      <c r="C22" s="132"/>
      <c r="D22" s="132"/>
      <c r="E22" s="133"/>
      <c r="F22" s="133"/>
      <c r="G22" s="134"/>
      <c r="H22" s="134"/>
      <c r="I22" s="134"/>
      <c r="J22" s="133"/>
      <c r="K22" s="135"/>
      <c r="L22" s="134"/>
      <c r="M22" s="134"/>
      <c r="N22" s="133"/>
      <c r="O22" s="133"/>
      <c r="P22" s="133"/>
      <c r="Q22" s="133"/>
      <c r="R22" s="33">
        <f t="shared" si="0"/>
        <v>0</v>
      </c>
      <c r="S22" s="33">
        <f t="shared" si="1"/>
        <v>0</v>
      </c>
      <c r="T22" s="33" t="e">
        <f t="shared" si="2"/>
        <v>#DIV/0!</v>
      </c>
      <c r="U22" s="32">
        <f t="shared" si="3"/>
        <v>0</v>
      </c>
      <c r="V22" s="32">
        <f t="shared" si="4"/>
        <v>0</v>
      </c>
      <c r="W22" s="34" t="e">
        <f t="shared" si="5"/>
        <v>#DIV/0!</v>
      </c>
    </row>
    <row r="23" spans="2:23" s="31" customFormat="1" ht="15.4" x14ac:dyDescent="0.45">
      <c r="B23" s="132"/>
      <c r="C23" s="132"/>
      <c r="D23" s="132"/>
      <c r="E23" s="133"/>
      <c r="F23" s="133"/>
      <c r="G23" s="134"/>
      <c r="H23" s="134"/>
      <c r="I23" s="134"/>
      <c r="J23" s="133"/>
      <c r="K23" s="135"/>
      <c r="L23" s="134"/>
      <c r="M23" s="134"/>
      <c r="N23" s="137"/>
      <c r="O23" s="137"/>
      <c r="P23" s="133"/>
      <c r="Q23" s="138"/>
      <c r="R23" s="33">
        <f>N23+O23</f>
        <v>0</v>
      </c>
      <c r="S23" s="33">
        <f>(P23+Q23)</f>
        <v>0</v>
      </c>
      <c r="T23" s="33" t="e">
        <f>F23/E23</f>
        <v>#DIV/0!</v>
      </c>
      <c r="U23" s="32">
        <f>(E23*60)*H23</f>
        <v>0</v>
      </c>
      <c r="V23" s="32">
        <f>(L23+M23)/1024</f>
        <v>0</v>
      </c>
      <c r="W23" s="34" t="e">
        <f>H23/I23</f>
        <v>#DIV/0!</v>
      </c>
    </row>
    <row r="24" spans="2:23" s="31" customFormat="1" ht="15.4" x14ac:dyDescent="0.45">
      <c r="B24" s="132"/>
      <c r="C24" s="132"/>
      <c r="D24" s="132"/>
      <c r="E24" s="133"/>
      <c r="F24" s="133"/>
      <c r="G24" s="134"/>
      <c r="H24" s="134"/>
      <c r="I24" s="134"/>
      <c r="J24" s="133"/>
      <c r="K24" s="135"/>
      <c r="L24" s="134"/>
      <c r="M24" s="134"/>
      <c r="N24" s="137"/>
      <c r="O24" s="137"/>
      <c r="P24" s="133"/>
      <c r="Q24" s="138"/>
      <c r="R24" s="33">
        <f>N24+O24</f>
        <v>0</v>
      </c>
      <c r="S24" s="33">
        <f>(P24+Q24)</f>
        <v>0</v>
      </c>
      <c r="T24" s="33" t="e">
        <f>F24/E24</f>
        <v>#DIV/0!</v>
      </c>
      <c r="U24" s="32">
        <f>(E24*60)*H24</f>
        <v>0</v>
      </c>
      <c r="V24" s="32">
        <f>(L24+M24)/1024</f>
        <v>0</v>
      </c>
      <c r="W24" s="34" t="e">
        <f>H24/I24</f>
        <v>#DIV/0!</v>
      </c>
    </row>
    <row r="25" spans="2:23" s="31" customFormat="1" ht="15.4" x14ac:dyDescent="0.45">
      <c r="B25" s="136"/>
      <c r="C25" s="136"/>
      <c r="D25" s="132"/>
      <c r="E25" s="133"/>
      <c r="F25" s="133"/>
      <c r="G25" s="134"/>
      <c r="H25" s="134"/>
      <c r="I25" s="134"/>
      <c r="J25" s="133"/>
      <c r="K25" s="135"/>
      <c r="L25" s="134"/>
      <c r="M25" s="134"/>
      <c r="N25" s="133"/>
      <c r="O25" s="133"/>
      <c r="P25" s="133"/>
      <c r="Q25" s="133"/>
      <c r="R25" s="33">
        <f t="shared" si="0"/>
        <v>0</v>
      </c>
      <c r="S25" s="33">
        <f t="shared" si="1"/>
        <v>0</v>
      </c>
      <c r="T25" s="33" t="e">
        <f t="shared" si="2"/>
        <v>#DIV/0!</v>
      </c>
      <c r="U25" s="32">
        <f t="shared" si="3"/>
        <v>0</v>
      </c>
      <c r="V25" s="32">
        <f t="shared" si="4"/>
        <v>0</v>
      </c>
      <c r="W25" s="34" t="e">
        <f t="shared" si="5"/>
        <v>#DIV/0!</v>
      </c>
    </row>
    <row r="26" spans="2:23" ht="19.149999999999999" customHeight="1" thickBot="1" x14ac:dyDescent="0.5"/>
    <row r="27" spans="2:23" ht="19.149999999999999" customHeight="1" x14ac:dyDescent="0.45">
      <c r="D27" s="65" t="s">
        <v>53</v>
      </c>
      <c r="E27" s="70" t="s">
        <v>55</v>
      </c>
      <c r="F27" s="66" t="s">
        <v>54</v>
      </c>
    </row>
    <row r="28" spans="2:23" s="15" customFormat="1" ht="18" x14ac:dyDescent="0.55000000000000004">
      <c r="D28" s="67" t="s">
        <v>47</v>
      </c>
      <c r="E28" s="62">
        <v>2</v>
      </c>
      <c r="F28" s="72">
        <v>2</v>
      </c>
      <c r="H28" s="16"/>
      <c r="R28" s="38"/>
    </row>
    <row r="29" spans="2:23" ht="12.4" customHeight="1" x14ac:dyDescent="0.45">
      <c r="D29" s="67" t="s">
        <v>48</v>
      </c>
      <c r="E29" s="62">
        <v>2</v>
      </c>
      <c r="F29" s="73">
        <v>2</v>
      </c>
    </row>
    <row r="30" spans="2:23" ht="12.4" customHeight="1" x14ac:dyDescent="0.45">
      <c r="D30" s="67" t="s">
        <v>49</v>
      </c>
      <c r="E30" s="63">
        <v>2</v>
      </c>
      <c r="F30" s="74">
        <v>2</v>
      </c>
    </row>
    <row r="31" spans="2:23" ht="13.15" customHeight="1" x14ac:dyDescent="0.45">
      <c r="D31" s="67" t="s">
        <v>52</v>
      </c>
      <c r="E31" s="64">
        <v>2</v>
      </c>
      <c r="F31" s="75">
        <v>2</v>
      </c>
    </row>
    <row r="32" spans="2:23" x14ac:dyDescent="0.45">
      <c r="D32" s="67" t="s">
        <v>50</v>
      </c>
      <c r="E32" s="62">
        <v>0.75</v>
      </c>
      <c r="F32" s="73">
        <v>0.75</v>
      </c>
    </row>
    <row r="33" spans="2:13" ht="13.15" customHeight="1" thickBot="1" x14ac:dyDescent="0.5">
      <c r="D33" s="68" t="s">
        <v>51</v>
      </c>
      <c r="E33" s="69">
        <v>1.25</v>
      </c>
      <c r="F33" s="76">
        <v>1.25</v>
      </c>
    </row>
    <row r="34" spans="2:13" x14ac:dyDescent="0.45">
      <c r="D34" s="71" t="s">
        <v>56</v>
      </c>
    </row>
    <row r="35" spans="2:13" ht="14.65" thickBot="1" x14ac:dyDescent="0.5"/>
    <row r="36" spans="2:13" ht="18" x14ac:dyDescent="0.55000000000000004">
      <c r="B36" s="129" t="s">
        <v>72</v>
      </c>
      <c r="C36" s="142"/>
      <c r="D36" s="143"/>
      <c r="E36" s="144"/>
      <c r="F36" s="143"/>
      <c r="G36" s="144"/>
      <c r="H36" s="144"/>
      <c r="I36" s="144"/>
      <c r="J36" s="144"/>
      <c r="K36" s="144"/>
      <c r="L36" s="144"/>
      <c r="M36" s="145"/>
    </row>
    <row r="37" spans="2:13" x14ac:dyDescent="0.45">
      <c r="C37" s="146" t="s">
        <v>60</v>
      </c>
      <c r="D37" s="147"/>
      <c r="E37" s="140"/>
      <c r="F37" s="147"/>
      <c r="G37" s="141"/>
      <c r="H37" s="141"/>
      <c r="I37" s="141"/>
      <c r="J37" s="141"/>
      <c r="K37" s="141"/>
      <c r="L37" s="141"/>
      <c r="M37" s="148"/>
    </row>
    <row r="38" spans="2:13" x14ac:dyDescent="0.45">
      <c r="C38" s="149"/>
      <c r="D38" s="150"/>
      <c r="E38" s="141"/>
      <c r="F38" s="150"/>
      <c r="G38" s="141"/>
      <c r="H38" s="141"/>
      <c r="I38" s="141"/>
      <c r="J38" s="141"/>
      <c r="K38" s="141"/>
      <c r="L38" s="141"/>
      <c r="M38" s="148"/>
    </row>
    <row r="39" spans="2:13" x14ac:dyDescent="0.45">
      <c r="C39" s="149"/>
      <c r="D39" s="150"/>
      <c r="E39" s="141"/>
      <c r="F39" s="150"/>
      <c r="G39" s="141"/>
      <c r="H39" s="141"/>
      <c r="I39" s="141"/>
      <c r="J39" s="141"/>
      <c r="K39" s="141"/>
      <c r="L39" s="141"/>
      <c r="M39" s="148"/>
    </row>
    <row r="40" spans="2:13" ht="14.65" thickBot="1" x14ac:dyDescent="0.5">
      <c r="C40" s="151"/>
      <c r="D40" s="152"/>
      <c r="E40" s="153"/>
      <c r="F40" s="152"/>
      <c r="G40" s="153"/>
      <c r="H40" s="153"/>
      <c r="I40" s="153"/>
      <c r="J40" s="153"/>
      <c r="K40" s="153"/>
      <c r="L40" s="153"/>
      <c r="M40" s="154"/>
    </row>
  </sheetData>
  <phoneticPr fontId="2" type="noConversion"/>
  <hyperlinks>
    <hyperlink ref="B2" r:id="rId1" xr:uid="{305B5E94-531B-4FFE-8758-FFF06837847C}"/>
  </hyperlinks>
  <pageMargins left="0.7" right="0.7" top="0.75" bottom="0.75" header="0.3" footer="0.3"/>
  <pageSetup orientation="portrait"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E750E-AE5D-4A47-94AB-E0FC4862066E}">
  <sheetPr codeName="Sheet1"/>
  <dimension ref="B1:S82"/>
  <sheetViews>
    <sheetView showGridLines="0" tabSelected="1" topLeftCell="A3" zoomScaleNormal="100" workbookViewId="0">
      <selection activeCell="O32" sqref="O32"/>
    </sheetView>
  </sheetViews>
  <sheetFormatPr defaultRowHeight="14.25" x14ac:dyDescent="0.45"/>
  <cols>
    <col min="2" max="3" width="15.3984375" customWidth="1"/>
    <col min="4" max="4" width="19.3984375" customWidth="1"/>
    <col min="5" max="5" width="14.59765625" customWidth="1"/>
    <col min="6" max="6" width="15.1328125" style="3" customWidth="1"/>
    <col min="7" max="7" width="14.3984375" customWidth="1"/>
    <col min="8" max="8" width="12.59765625" style="3" customWidth="1"/>
    <col min="9" max="15" width="12.59765625" customWidth="1"/>
    <col min="16" max="19" width="12.59765625" hidden="1" customWidth="1"/>
    <col min="20" max="20" width="13.86328125" customWidth="1"/>
    <col min="21" max="21" width="10.3984375" customWidth="1"/>
    <col min="22" max="22" width="11.1328125" bestFit="1" customWidth="1"/>
    <col min="23" max="23" width="12.59765625" customWidth="1"/>
  </cols>
  <sheetData>
    <row r="1" spans="2:17" x14ac:dyDescent="0.45">
      <c r="E1" s="8"/>
      <c r="F1" s="8"/>
      <c r="G1" s="11"/>
      <c r="H1" s="11"/>
      <c r="I1" s="11"/>
      <c r="J1" s="25"/>
      <c r="K1" s="20"/>
      <c r="L1" s="11"/>
      <c r="M1" s="8"/>
      <c r="N1" s="8"/>
      <c r="O1" s="8"/>
      <c r="P1" s="8"/>
      <c r="Q1" s="8"/>
    </row>
    <row r="2" spans="2:17" s="15" customFormat="1" ht="18" x14ac:dyDescent="0.55000000000000004">
      <c r="B2" s="15" t="s">
        <v>24</v>
      </c>
      <c r="E2" s="21"/>
      <c r="F2" s="21"/>
      <c r="G2" s="22"/>
      <c r="H2" s="22"/>
      <c r="I2" s="22"/>
      <c r="J2" s="36"/>
      <c r="K2" s="24"/>
      <c r="L2" s="22"/>
      <c r="M2" s="21"/>
      <c r="N2" s="21"/>
      <c r="O2" s="21"/>
      <c r="P2" s="21"/>
      <c r="Q2" s="21"/>
    </row>
    <row r="3" spans="2:17" s="38" customFormat="1" ht="18" x14ac:dyDescent="0.55000000000000004">
      <c r="B3" s="56" t="s">
        <v>25</v>
      </c>
      <c r="E3" s="21"/>
      <c r="F3" s="21"/>
      <c r="G3" s="22"/>
      <c r="H3" s="22"/>
      <c r="I3" s="22"/>
      <c r="J3" s="36"/>
      <c r="K3" s="24"/>
      <c r="L3" s="22"/>
      <c r="M3" s="21"/>
      <c r="N3" s="21"/>
      <c r="O3" s="21"/>
      <c r="P3" s="21"/>
      <c r="Q3" s="21"/>
    </row>
    <row r="4" spans="2:17" s="40" customFormat="1" ht="15.75" x14ac:dyDescent="0.5">
      <c r="B4" s="56" t="s">
        <v>40</v>
      </c>
      <c r="E4" s="8"/>
      <c r="F4" s="8"/>
      <c r="G4" s="11"/>
      <c r="H4" s="11"/>
      <c r="I4" s="11"/>
      <c r="J4" s="25"/>
      <c r="K4" s="20"/>
      <c r="L4" s="11"/>
      <c r="M4" s="8"/>
      <c r="N4" s="8"/>
      <c r="O4" s="8"/>
      <c r="P4" s="8"/>
      <c r="Q4" s="8"/>
    </row>
    <row r="5" spans="2:17" ht="18" x14ac:dyDescent="0.55000000000000004">
      <c r="B5" s="15"/>
      <c r="E5" s="8"/>
      <c r="F5" s="8"/>
      <c r="G5" s="11"/>
      <c r="H5" s="11"/>
      <c r="I5" s="11"/>
      <c r="J5" s="25"/>
      <c r="K5" s="20"/>
      <c r="L5" s="11"/>
      <c r="M5" s="8"/>
      <c r="N5" s="8"/>
      <c r="O5" s="8"/>
      <c r="P5" s="8"/>
      <c r="Q5" s="8"/>
    </row>
    <row r="6" spans="2:17" s="15" customFormat="1" ht="18" x14ac:dyDescent="0.55000000000000004">
      <c r="B6" s="15" t="s">
        <v>41</v>
      </c>
      <c r="E6" s="21"/>
      <c r="F6" s="22"/>
      <c r="G6" s="22"/>
      <c r="H6" s="23"/>
      <c r="I6" s="21"/>
      <c r="J6" s="23"/>
      <c r="K6" s="24"/>
      <c r="L6" s="22"/>
      <c r="M6" s="22"/>
      <c r="N6" s="21"/>
      <c r="O6" s="21"/>
      <c r="P6" s="21"/>
      <c r="Q6" s="21"/>
    </row>
    <row r="7" spans="2:17" s="2" customFormat="1" ht="42.75" x14ac:dyDescent="0.45">
      <c r="B7" s="4" t="s">
        <v>0</v>
      </c>
      <c r="C7" s="4" t="s">
        <v>1</v>
      </c>
      <c r="D7" s="5" t="s">
        <v>37</v>
      </c>
      <c r="E7" s="5" t="s">
        <v>34</v>
      </c>
      <c r="F7" s="5" t="s">
        <v>35</v>
      </c>
      <c r="G7" s="5" t="s">
        <v>36</v>
      </c>
      <c r="H7" s="5" t="s">
        <v>6</v>
      </c>
    </row>
    <row r="8" spans="2:17" x14ac:dyDescent="0.45">
      <c r="B8" s="59"/>
      <c r="C8" s="59"/>
      <c r="D8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8" s="11" t="str">
        <f>IF(InstSummary[[#This Row],[Instance Name]]="","",SUMIFS(AWRData[ORA use (GB)],AWRData[Instance Name],InstSummary[[#This Row],[Instance Name]]))</f>
        <v/>
      </c>
      <c r="F8" s="8" t="str">
        <f>IF(InstSummary[[#This Row],[Instance Name]]="","",SUMIFS(AWRData[Total IOPS],AWRData[Instance Name],InstSummary[[#This Row],[Instance Name]]))</f>
        <v/>
      </c>
      <c r="G8" s="8" t="str">
        <f>IF(InstSummary[[#This Row],[Instance Name]]="","",SUMIFS(AWRData[Total Throughput (MB/s)],AWRData[Instance Name],InstSummary[[#This Row],[Instance Name]]))</f>
        <v/>
      </c>
      <c r="H8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9" spans="2:17" x14ac:dyDescent="0.45">
      <c r="B9" s="59"/>
      <c r="C9" s="59"/>
      <c r="D9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9" s="11" t="str">
        <f>IF(InstSummary[[#This Row],[Instance Name]]="","",SUMIFS(AWRData[ORA use (GB)],AWRData[Instance Name],InstSummary[[#This Row],[Instance Name]]))</f>
        <v/>
      </c>
      <c r="F9" s="8" t="str">
        <f>IF(InstSummary[[#This Row],[Instance Name]]="","",SUMIFS(AWRData[Total IOPS],AWRData[Instance Name],InstSummary[[#This Row],[Instance Name]]))</f>
        <v/>
      </c>
      <c r="G9" s="8" t="str">
        <f>IF(InstSummary[[#This Row],[Instance Name]]="","",SUMIFS(AWRData[Total Throughput (MB/s)],AWRData[Instance Name],InstSummary[[#This Row],[Instance Name]]))</f>
        <v/>
      </c>
      <c r="H9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0" spans="2:17" x14ac:dyDescent="0.45">
      <c r="B10" s="59"/>
      <c r="C10" s="59"/>
      <c r="D10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0" s="11" t="str">
        <f>IF(InstSummary[[#This Row],[Instance Name]]="","",SUMIFS(AWRData[ORA use (GB)],AWRData[Instance Name],InstSummary[[#This Row],[Instance Name]]))</f>
        <v/>
      </c>
      <c r="F10" s="8" t="str">
        <f>IF(InstSummary[[#This Row],[Instance Name]]="","",SUMIFS(AWRData[Total IOPS],AWRData[Instance Name],InstSummary[[#This Row],[Instance Name]]))</f>
        <v/>
      </c>
      <c r="G10" s="8" t="str">
        <f>IF(InstSummary[[#This Row],[Instance Name]]="","",SUMIFS(AWRData[Total Throughput (MB/s)],AWRData[Instance Name],InstSummary[[#This Row],[Instance Name]]))</f>
        <v/>
      </c>
      <c r="H10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1" spans="2:17" x14ac:dyDescent="0.45">
      <c r="B11" s="59"/>
      <c r="C11" s="59"/>
      <c r="D11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1" s="11" t="str">
        <f>IF(InstSummary[[#This Row],[Instance Name]]="","",SUMIFS(AWRData[ORA use (GB)],AWRData[Instance Name],InstSummary[[#This Row],[Instance Name]]))</f>
        <v/>
      </c>
      <c r="F11" s="8" t="str">
        <f>IF(InstSummary[[#This Row],[Instance Name]]="","",SUMIFS(AWRData[Total IOPS],AWRData[Instance Name],InstSummary[[#This Row],[Instance Name]]))</f>
        <v/>
      </c>
      <c r="G11" s="8" t="str">
        <f>IF(InstSummary[[#This Row],[Instance Name]]="","",SUMIFS(AWRData[Total Throughput (MB/s)],AWRData[Instance Name],InstSummary[[#This Row],[Instance Name]]))</f>
        <v/>
      </c>
      <c r="H11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2" spans="2:17" x14ac:dyDescent="0.45">
      <c r="B12" s="59"/>
      <c r="C12" s="59"/>
      <c r="D12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2" s="11" t="str">
        <f>IF(InstSummary[[#This Row],[Instance Name]]="","",SUMIFS(AWRData[ORA use (GB)],AWRData[Instance Name],InstSummary[[#This Row],[Instance Name]]))</f>
        <v/>
      </c>
      <c r="F12" s="8" t="str">
        <f>IF(InstSummary[[#This Row],[Instance Name]]="","",SUMIFS(AWRData[Total IOPS],AWRData[Instance Name],InstSummary[[#This Row],[Instance Name]]))</f>
        <v/>
      </c>
      <c r="G12" s="8" t="str">
        <f>IF(InstSummary[[#This Row],[Instance Name]]="","",SUMIFS(AWRData[Total Throughput (MB/s)],AWRData[Instance Name],InstSummary[[#This Row],[Instance Name]]))</f>
        <v/>
      </c>
      <c r="H12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3" spans="2:17" x14ac:dyDescent="0.45">
      <c r="B13" s="59"/>
      <c r="C13" s="59"/>
      <c r="D13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3" s="11" t="str">
        <f>IF(InstSummary[[#This Row],[Instance Name]]="","",SUMIFS(AWRData[ORA use (GB)],AWRData[Instance Name],InstSummary[[#This Row],[Instance Name]]))</f>
        <v/>
      </c>
      <c r="F13" s="8" t="str">
        <f>IF(InstSummary[[#This Row],[Instance Name]]="","",SUMIFS(AWRData[Total IOPS],AWRData[Instance Name],InstSummary[[#This Row],[Instance Name]]))</f>
        <v/>
      </c>
      <c r="G13" s="8" t="str">
        <f>IF(InstSummary[[#This Row],[Instance Name]]="","",SUMIFS(AWRData[Total Throughput (MB/s)],AWRData[Instance Name],InstSummary[[#This Row],[Instance Name]]))</f>
        <v/>
      </c>
      <c r="H13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4" spans="2:17" x14ac:dyDescent="0.45">
      <c r="B14" s="59"/>
      <c r="C14" s="59"/>
      <c r="D14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4" s="11" t="str">
        <f>IF(InstSummary[[#This Row],[Instance Name]]="","",SUMIFS(AWRData[ORA use (GB)],AWRData[Instance Name],InstSummary[[#This Row],[Instance Name]]))</f>
        <v/>
      </c>
      <c r="F14" s="8" t="str">
        <f>IF(InstSummary[[#This Row],[Instance Name]]="","",SUMIFS(AWRData[Total IOPS],AWRData[Instance Name],InstSummary[[#This Row],[Instance Name]]))</f>
        <v/>
      </c>
      <c r="G14" s="8" t="str">
        <f>IF(InstSummary[[#This Row],[Instance Name]]="","",SUMIFS(AWRData[Total Throughput (MB/s)],AWRData[Instance Name],InstSummary[[#This Row],[Instance Name]]))</f>
        <v/>
      </c>
      <c r="H14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5" spans="2:17" x14ac:dyDescent="0.45">
      <c r="B15" s="59"/>
      <c r="C15" s="60"/>
      <c r="D15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5" s="11" t="str">
        <f>IF(InstSummary[[#This Row],[Instance Name]]="","",SUMIFS(AWRData[ORA use (GB)],AWRData[Instance Name],InstSummary[[#This Row],[Instance Name]]))</f>
        <v/>
      </c>
      <c r="F15" s="8" t="str">
        <f>IF(InstSummary[[#This Row],[Instance Name]]="","",SUMIFS(AWRData[Total IOPS],AWRData[Instance Name],InstSummary[[#This Row],[Instance Name]]))</f>
        <v/>
      </c>
      <c r="G15" s="8" t="str">
        <f>IF(InstSummary[[#This Row],[Instance Name]]="","",SUMIFS(AWRData[Total Throughput (MB/s)],AWRData[Instance Name],InstSummary[[#This Row],[Instance Name]]))</f>
        <v/>
      </c>
      <c r="H15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6" spans="2:17" x14ac:dyDescent="0.45">
      <c r="B16" s="59"/>
      <c r="C16" s="60"/>
      <c r="D16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6" s="11" t="str">
        <f>IF(InstSummary[[#This Row],[Instance Name]]="","",SUMIFS(AWRData[ORA use (GB)],AWRData[Instance Name],InstSummary[[#This Row],[Instance Name]]))</f>
        <v/>
      </c>
      <c r="F16" s="8" t="str">
        <f>IF(InstSummary[[#This Row],[Instance Name]]="","",SUMIFS(AWRData[Total IOPS],AWRData[Instance Name],InstSummary[[#This Row],[Instance Name]]))</f>
        <v/>
      </c>
      <c r="G16" s="8" t="str">
        <f>IF(InstSummary[[#This Row],[Instance Name]]="","",SUMIFS(AWRData[Total Throughput (MB/s)],AWRData[Instance Name],InstSummary[[#This Row],[Instance Name]]))</f>
        <v/>
      </c>
      <c r="H16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7" spans="2:17" x14ac:dyDescent="0.45">
      <c r="B17" s="59"/>
      <c r="C17" s="59"/>
      <c r="D17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7" s="11" t="str">
        <f>IF(InstSummary[[#This Row],[Instance Name]]="","",SUMIFS(AWRData[ORA use (GB)],AWRData[Instance Name],InstSummary[[#This Row],[Instance Name]]))</f>
        <v/>
      </c>
      <c r="F17" s="8" t="str">
        <f>IF(InstSummary[[#This Row],[Instance Name]]="","",SUMIFS(AWRData[Total IOPS],AWRData[Instance Name],InstSummary[[#This Row],[Instance Name]]))</f>
        <v/>
      </c>
      <c r="G17" s="8" t="str">
        <f>IF(InstSummary[[#This Row],[Instance Name]]="","",SUMIFS(AWRData[Total Throughput (MB/s)],AWRData[Instance Name],InstSummary[[#This Row],[Instance Name]]))</f>
        <v/>
      </c>
      <c r="H17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8" spans="2:17" x14ac:dyDescent="0.45">
      <c r="B18" s="59"/>
      <c r="C18" s="59"/>
      <c r="D18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8" s="11" t="str">
        <f>IF(InstSummary[[#This Row],[Instance Name]]="","",SUMIFS(AWRData[ORA use (GB)],AWRData[Instance Name],InstSummary[[#This Row],[Instance Name]]))</f>
        <v/>
      </c>
      <c r="F18" s="8" t="str">
        <f>IF(InstSummary[[#This Row],[Instance Name]]="","",SUMIFS(AWRData[Total IOPS],AWRData[Instance Name],InstSummary[[#This Row],[Instance Name]]))</f>
        <v/>
      </c>
      <c r="G18" s="8" t="str">
        <f>IF(InstSummary[[#This Row],[Instance Name]]="","",SUMIFS(AWRData[Total Throughput (MB/s)],AWRData[Instance Name],InstSummary[[#This Row],[Instance Name]]))</f>
        <v/>
      </c>
      <c r="H18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19" spans="2:17" x14ac:dyDescent="0.45">
      <c r="B19" s="59"/>
      <c r="C19" s="59"/>
      <c r="D19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19" s="11" t="str">
        <f>IF(InstSummary[[#This Row],[Instance Name]]="","",SUMIFS(AWRData[ORA use (GB)],AWRData[Instance Name],InstSummary[[#This Row],[Instance Name]]))</f>
        <v/>
      </c>
      <c r="F19" s="8" t="str">
        <f>IF(InstSummary[[#This Row],[Instance Name]]="","",SUMIFS(AWRData[Total IOPS],AWRData[Instance Name],InstSummary[[#This Row],[Instance Name]]))</f>
        <v/>
      </c>
      <c r="G19" s="8" t="str">
        <f>IF(InstSummary[[#This Row],[Instance Name]]="","",SUMIFS(AWRData[Total Throughput (MB/s)],AWRData[Instance Name],InstSummary[[#This Row],[Instance Name]]))</f>
        <v/>
      </c>
      <c r="H19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20" spans="2:17" x14ac:dyDescent="0.45">
      <c r="B20" s="59"/>
      <c r="C20" s="59"/>
      <c r="D20" s="6" t="str">
        <f>IF(InstSummary[[#This Row],[Instance Name]]="","",SUMIFS(AWRData[DB Time (mins)],AWRData[Instance Name],InstSummary[[#This Row],[Instance Name]])/SUMIFS(AWRData[Elapsed Time (mins)],AWRData[Instance Name],InstSummary[[#This Row],[Instance Name]]))</f>
        <v/>
      </c>
      <c r="E20" s="11" t="str">
        <f>IF(InstSummary[[#This Row],[Instance Name]]="","",SUMIFS(AWRData[ORA use (GB)],AWRData[Instance Name],InstSummary[[#This Row],[Instance Name]]))</f>
        <v/>
      </c>
      <c r="F20" s="8" t="str">
        <f>IF(InstSummary[[#This Row],[Instance Name]]="","",SUMIFS(AWRData[Total IOPS],AWRData[Instance Name],InstSummary[[#This Row],[Instance Name]]))</f>
        <v/>
      </c>
      <c r="G20" s="8" t="str">
        <f>IF(InstSummary[[#This Row],[Instance Name]]="","",SUMIFS(AWRData[Total Throughput (MB/s)],AWRData[Instance Name],InstSummary[[#This Row],[Instance Name]]))</f>
        <v/>
      </c>
      <c r="H20" s="8" t="str">
        <f>IF(InstSummary[[#This Row],[Instance Name]]="","",InstSummary[[#This Row],[%DB Time of Elapsed Time (aka Avg Active Sessions or "AAS")]]*(vCPUHTFactor/SUMIFS(AWRData[source CPU HT factor],AWRData[Instance Name],InstSummary[[#This Row],[Instance Name]])))</f>
        <v/>
      </c>
    </row>
    <row r="21" spans="2:17" x14ac:dyDescent="0.45">
      <c r="D21" s="7">
        <f>SUBTOTAL(109,InstSummary[%DB Time of Elapsed Time (aka Avg Active Sessions or "AAS")])</f>
        <v>0</v>
      </c>
      <c r="E21" s="10">
        <f>SUBTOTAL(109,InstSummary[Observed memory use (GB)])</f>
        <v>0</v>
      </c>
      <c r="F21" s="9">
        <f>SUBTOTAL(109,InstSummary[Observed IOPS])</f>
        <v>0</v>
      </c>
      <c r="G21" s="9">
        <f>SUBTOTAL(109,InstSummary[Observed Throughput (MB/s)])</f>
        <v>0</v>
      </c>
      <c r="H21" s="9">
        <f>SUBTOTAL(109,InstSummary[Est''d Azure vCPUs])</f>
        <v>0</v>
      </c>
    </row>
    <row r="22" spans="2:17" x14ac:dyDescent="0.45">
      <c r="E22" s="8"/>
      <c r="F22" s="11"/>
      <c r="G22" s="11"/>
      <c r="H22" s="6"/>
      <c r="I22" s="8"/>
      <c r="J22" s="6"/>
      <c r="L22" s="11"/>
      <c r="M22" s="11"/>
      <c r="N22" s="8"/>
      <c r="O22" s="8"/>
      <c r="P22" s="8"/>
      <c r="Q22" s="8"/>
    </row>
    <row r="23" spans="2:17" s="15" customFormat="1" ht="17.649999999999999" customHeight="1" x14ac:dyDescent="0.55000000000000004">
      <c r="B23" s="15" t="s">
        <v>42</v>
      </c>
      <c r="E23" s="17"/>
      <c r="F23" s="18"/>
      <c r="G23" s="17"/>
      <c r="H23" s="18"/>
    </row>
    <row r="24" spans="2:17" s="1" customFormat="1" ht="42.75" x14ac:dyDescent="0.45">
      <c r="B24" s="37" t="s">
        <v>27</v>
      </c>
      <c r="C24" s="4" t="s">
        <v>26</v>
      </c>
      <c r="D24" s="5" t="s">
        <v>37</v>
      </c>
      <c r="E24" s="5" t="s">
        <v>34</v>
      </c>
      <c r="F24" s="5" t="s">
        <v>35</v>
      </c>
      <c r="G24" s="5" t="s">
        <v>36</v>
      </c>
      <c r="H24" s="45" t="s">
        <v>6</v>
      </c>
    </row>
    <row r="25" spans="2:17" x14ac:dyDescent="0.45">
      <c r="B25" s="59"/>
      <c r="D25" s="46" t="str">
        <f>IF(HostSummary[[#This Row],[Host]]="","",SUMIFS(AWRData[Average Active Sessions],AWRData[Host Name],HostSummary[[#This Row],[Host]]))</f>
        <v/>
      </c>
      <c r="E25" s="47" t="str">
        <f>IF(HostSummary[[#This Row],[Host]]="","",SUMIFS(AWRData[ORA use (GB)],AWRData[Host Name],HostSummary[[#This Row],[Host]]))</f>
        <v/>
      </c>
      <c r="F25" s="47" t="str">
        <f>IF(HostSummary[[#This Row],[Host]]="","",SUMIFS(AWRData[Total IOPS],AWRData[Host Name],HostSummary[[#This Row],[Host]]))</f>
        <v/>
      </c>
      <c r="G25" s="47" t="str">
        <f>IF(HostSummary[[#This Row],[Host]]="","",SUMIFS(AWRData[Total Throughput (MB/s)],AWRData[Host Name],HostSummary[[#This Row],[Host]]))</f>
        <v/>
      </c>
      <c r="H2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6" spans="2:17" x14ac:dyDescent="0.45">
      <c r="B26" s="59"/>
      <c r="D26" s="46" t="str">
        <f>IF(HostSummary[[#This Row],[Host]]="","",SUMIFS(AWRData[Average Active Sessions],AWRData[Host Name],HostSummary[[#This Row],[Host]]))</f>
        <v/>
      </c>
      <c r="E26" s="47" t="str">
        <f>IF(HostSummary[[#This Row],[Host]]="","",SUMIFS(AWRData[ORA use (GB)],AWRData[Host Name],HostSummary[[#This Row],[Host]]))</f>
        <v/>
      </c>
      <c r="F26" s="47" t="str">
        <f>IF(HostSummary[[#This Row],[Host]]="","",SUMIFS(AWRData[Total IOPS],AWRData[Host Name],HostSummary[[#This Row],[Host]]))</f>
        <v/>
      </c>
      <c r="G26" s="47" t="str">
        <f>IF(HostSummary[[#This Row],[Host]]="","",SUMIFS(AWRData[Total Throughput (MB/s)],AWRData[Host Name],HostSummary[[#This Row],[Host]]))</f>
        <v/>
      </c>
      <c r="H26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7" spans="2:17" x14ac:dyDescent="0.45">
      <c r="B27" s="59"/>
      <c r="D27" s="46" t="str">
        <f>IF(HostSummary[[#This Row],[Host]]="","",SUMIFS(AWRData[Average Active Sessions],AWRData[Host Name],HostSummary[[#This Row],[Host]]))</f>
        <v/>
      </c>
      <c r="E27" s="47" t="str">
        <f>IF(HostSummary[[#This Row],[Host]]="","",SUMIFS(AWRData[ORA use (GB)],AWRData[Host Name],HostSummary[[#This Row],[Host]]))</f>
        <v/>
      </c>
      <c r="F27" s="47" t="str">
        <f>IF(HostSummary[[#This Row],[Host]]="","",SUMIFS(AWRData[Total IOPS],AWRData[Host Name],HostSummary[[#This Row],[Host]]))</f>
        <v/>
      </c>
      <c r="G27" s="47" t="str">
        <f>IF(HostSummary[[#This Row],[Host]]="","",SUMIFS(AWRData[Total Throughput (MB/s)],AWRData[Host Name],HostSummary[[#This Row],[Host]]))</f>
        <v/>
      </c>
      <c r="H27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8" spans="2:17" x14ac:dyDescent="0.45">
      <c r="B28" s="59"/>
      <c r="D28" s="46" t="str">
        <f>IF(HostSummary[[#This Row],[Host]]="","",SUMIFS(AWRData[Average Active Sessions],AWRData[Host Name],HostSummary[[#This Row],[Host]]))</f>
        <v/>
      </c>
      <c r="E28" s="47" t="str">
        <f>IF(HostSummary[[#This Row],[Host]]="","",SUMIFS(AWRData[ORA use (GB)],AWRData[Host Name],HostSummary[[#This Row],[Host]]))</f>
        <v/>
      </c>
      <c r="F28" s="47" t="str">
        <f>IF(HostSummary[[#This Row],[Host]]="","",SUMIFS(AWRData[Total IOPS],AWRData[Host Name],HostSummary[[#This Row],[Host]]))</f>
        <v/>
      </c>
      <c r="G28" s="47" t="str">
        <f>IF(HostSummary[[#This Row],[Host]]="","",SUMIFS(AWRData[Total Throughput (MB/s)],AWRData[Host Name],HostSummary[[#This Row],[Host]]))</f>
        <v/>
      </c>
      <c r="H28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29" spans="2:17" x14ac:dyDescent="0.45">
      <c r="B29" s="59"/>
      <c r="D29" s="46" t="str">
        <f>IF(HostSummary[[#This Row],[Host]]="","",SUMIFS(AWRData[Average Active Sessions],AWRData[Host Name],HostSummary[[#This Row],[Host]]))</f>
        <v/>
      </c>
      <c r="E29" s="47" t="str">
        <f>IF(HostSummary[[#This Row],[Host]]="","",SUMIFS(AWRData[ORA use (GB)],AWRData[Host Name],HostSummary[[#This Row],[Host]]))</f>
        <v/>
      </c>
      <c r="F29" s="47" t="str">
        <f>IF(HostSummary[[#This Row],[Host]]="","",SUMIFS(AWRData[Total IOPS],AWRData[Host Name],HostSummary[[#This Row],[Host]]))</f>
        <v/>
      </c>
      <c r="G29" s="47" t="str">
        <f>IF(HostSummary[[#This Row],[Host]]="","",SUMIFS(AWRData[Total Throughput (MB/s)],AWRData[Host Name],HostSummary[[#This Row],[Host]]))</f>
        <v/>
      </c>
      <c r="H29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0" spans="2:17" x14ac:dyDescent="0.45">
      <c r="B30" s="59"/>
      <c r="D30" s="46" t="str">
        <f>IF(HostSummary[[#This Row],[Host]]="","",SUMIFS(AWRData[Average Active Sessions],AWRData[Host Name],HostSummary[[#This Row],[Host]]))</f>
        <v/>
      </c>
      <c r="E30" s="47" t="str">
        <f>IF(HostSummary[[#This Row],[Host]]="","",SUMIFS(AWRData[ORA use (GB)],AWRData[Host Name],HostSummary[[#This Row],[Host]]))</f>
        <v/>
      </c>
      <c r="F30" s="47" t="str">
        <f>IF(HostSummary[[#This Row],[Host]]="","",SUMIFS(AWRData[Total IOPS],AWRData[Host Name],HostSummary[[#This Row],[Host]]))</f>
        <v/>
      </c>
      <c r="G30" s="47" t="str">
        <f>IF(HostSummary[[#This Row],[Host]]="","",SUMIFS(AWRData[Total Throughput (MB/s)],AWRData[Host Name],HostSummary[[#This Row],[Host]]))</f>
        <v/>
      </c>
      <c r="H30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1" spans="2:17" x14ac:dyDescent="0.45">
      <c r="B31" s="59"/>
      <c r="D31" s="46" t="str">
        <f>IF(HostSummary[[#This Row],[Host]]="","",SUMIFS(AWRData[Average Active Sessions],AWRData[Host Name],HostSummary[[#This Row],[Host]]))</f>
        <v/>
      </c>
      <c r="E31" s="47" t="str">
        <f>IF(HostSummary[[#This Row],[Host]]="","",SUMIFS(AWRData[ORA use (GB)],AWRData[Host Name],HostSummary[[#This Row],[Host]]))</f>
        <v/>
      </c>
      <c r="F31" s="47" t="str">
        <f>IF(HostSummary[[#This Row],[Host]]="","",SUMIFS(AWRData[Total IOPS],AWRData[Host Name],HostSummary[[#This Row],[Host]]))</f>
        <v/>
      </c>
      <c r="G31" s="47" t="str">
        <f>IF(HostSummary[[#This Row],[Host]]="","",SUMIFS(AWRData[Total Throughput (MB/s)],AWRData[Host Name],HostSummary[[#This Row],[Host]]))</f>
        <v/>
      </c>
      <c r="H31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2" spans="2:17" x14ac:dyDescent="0.45">
      <c r="B32" s="59"/>
      <c r="D32" s="46" t="str">
        <f>IF(HostSummary[[#This Row],[Host]]="","",SUMIFS(AWRData[Average Active Sessions],AWRData[Host Name],HostSummary[[#This Row],[Host]]))</f>
        <v/>
      </c>
      <c r="E32" s="47" t="str">
        <f>IF(HostSummary[[#This Row],[Host]]="","",SUMIFS(AWRData[ORA use (GB)],AWRData[Host Name],HostSummary[[#This Row],[Host]]))</f>
        <v/>
      </c>
      <c r="F32" s="47" t="str">
        <f>IF(HostSummary[[#This Row],[Host]]="","",SUMIFS(AWRData[Total IOPS],AWRData[Host Name],HostSummary[[#This Row],[Host]]))</f>
        <v/>
      </c>
      <c r="G32" s="47" t="str">
        <f>IF(HostSummary[[#This Row],[Host]]="","",SUMIFS(AWRData[Total Throughput (MB/s)],AWRData[Host Name],HostSummary[[#This Row],[Host]]))</f>
        <v/>
      </c>
      <c r="H32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3" spans="2:13" x14ac:dyDescent="0.45">
      <c r="B33" s="59"/>
      <c r="D33" s="46" t="str">
        <f>IF(HostSummary[[#This Row],[Host]]="","",SUMIFS(AWRData[Average Active Sessions],AWRData[Host Name],HostSummary[[#This Row],[Host]]))</f>
        <v/>
      </c>
      <c r="E33" s="47" t="str">
        <f>IF(HostSummary[[#This Row],[Host]]="","",SUMIFS(AWRData[ORA use (GB)],AWRData[Host Name],HostSummary[[#This Row],[Host]]))</f>
        <v/>
      </c>
      <c r="F33" s="47" t="str">
        <f>IF(HostSummary[[#This Row],[Host]]="","",SUMIFS(AWRData[Total IOPS],AWRData[Host Name],HostSummary[[#This Row],[Host]]))</f>
        <v/>
      </c>
      <c r="G33" s="47" t="str">
        <f>IF(HostSummary[[#This Row],[Host]]="","",SUMIFS(AWRData[Total Throughput (MB/s)],AWRData[Host Name],HostSummary[[#This Row],[Host]]))</f>
        <v/>
      </c>
      <c r="H33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4" spans="2:13" x14ac:dyDescent="0.45">
      <c r="B34" s="59"/>
      <c r="D34" s="46" t="str">
        <f>IF(HostSummary[[#This Row],[Host]]="","",SUMIFS(AWRData[Average Active Sessions],AWRData[Host Name],HostSummary[[#This Row],[Host]]))</f>
        <v/>
      </c>
      <c r="E34" s="47" t="str">
        <f>IF(HostSummary[[#This Row],[Host]]="","",SUMIFS(AWRData[ORA use (GB)],AWRData[Host Name],HostSummary[[#This Row],[Host]]))</f>
        <v/>
      </c>
      <c r="F34" s="47" t="str">
        <f>IF(HostSummary[[#This Row],[Host]]="","",SUMIFS(AWRData[Total IOPS],AWRData[Host Name],HostSummary[[#This Row],[Host]]))</f>
        <v/>
      </c>
      <c r="G34" s="47" t="str">
        <f>IF(HostSummary[[#This Row],[Host]]="","",SUMIFS(AWRData[Total Throughput (MB/s)],AWRData[Host Name],HostSummary[[#This Row],[Host]]))</f>
        <v/>
      </c>
      <c r="H34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5" spans="2:13" x14ac:dyDescent="0.45">
      <c r="B35" s="59"/>
      <c r="D35" s="46" t="str">
        <f>IF(HostSummary[[#This Row],[Host]]="","",SUMIFS(AWRData[Average Active Sessions],AWRData[Host Name],HostSummary[[#This Row],[Host]]))</f>
        <v/>
      </c>
      <c r="E35" s="47" t="str">
        <f>IF(HostSummary[[#This Row],[Host]]="","",SUMIFS(AWRData[ORA use (GB)],AWRData[Host Name],HostSummary[[#This Row],[Host]]))</f>
        <v/>
      </c>
      <c r="F35" s="47" t="str">
        <f>IF(HostSummary[[#This Row],[Host]]="","",SUMIFS(AWRData[Total IOPS],AWRData[Host Name],HostSummary[[#This Row],[Host]]))</f>
        <v/>
      </c>
      <c r="G35" s="47" t="str">
        <f>IF(HostSummary[[#This Row],[Host]]="","",SUMIFS(AWRData[Total Throughput (MB/s)],AWRData[Host Name],HostSummary[[#This Row],[Host]]))</f>
        <v/>
      </c>
      <c r="H35" s="47" t="str">
        <f>IF(HostSummary[[#This Row],[Host]]="","",ROUND(HostSummary[[#This Row],[%DB Time of Elapsed Time (aka Avg Active Sessions or "AAS")]]+0.5,0)*(vCPUHTFactor/AVERAGEIFS(AWRData[source CPU HT factor],AWRData[Host Name],HostSummary[[#This Row],[Host]])))</f>
        <v/>
      </c>
    </row>
    <row r="36" spans="2:13" x14ac:dyDescent="0.45">
      <c r="B36" t="s">
        <v>7</v>
      </c>
      <c r="D36" s="48">
        <f>SUBTOTAL(109,HostSummary[%DB Time of Elapsed Time (aka Avg Active Sessions or "AAS")])</f>
        <v>0</v>
      </c>
      <c r="E36" s="49">
        <f>SUBTOTAL(109,HostSummary[Observed memory use (GB)])</f>
        <v>0</v>
      </c>
      <c r="F36" s="49">
        <f>SUBTOTAL(109,HostSummary[Observed IOPS])</f>
        <v>0</v>
      </c>
      <c r="G36" s="49">
        <f>SUBTOTAL(109,HostSummary[Observed Throughput (MB/s)])</f>
        <v>0</v>
      </c>
      <c r="H36" s="49">
        <f>SUBTOTAL(109,HostSummary[Est''d Azure vCPUs])</f>
        <v>0</v>
      </c>
      <c r="J36" s="61"/>
    </row>
    <row r="37" spans="2:13" x14ac:dyDescent="0.45">
      <c r="F37"/>
      <c r="H37"/>
    </row>
    <row r="38" spans="2:13" s="15" customFormat="1" ht="18" x14ac:dyDescent="0.55000000000000004">
      <c r="B38" s="15" t="s">
        <v>43</v>
      </c>
      <c r="D38" s="16"/>
      <c r="F38" s="19"/>
      <c r="G38" s="18"/>
    </row>
    <row r="39" spans="2:13" s="2" customFormat="1" ht="71.25" x14ac:dyDescent="0.45">
      <c r="B39" s="4" t="s">
        <v>0</v>
      </c>
      <c r="C39" s="5" t="s">
        <v>37</v>
      </c>
      <c r="D39" s="41" t="s">
        <v>38</v>
      </c>
      <c r="E39" s="12" t="s">
        <v>33</v>
      </c>
      <c r="F39" s="41" t="s">
        <v>35</v>
      </c>
      <c r="G39" s="41" t="s">
        <v>39</v>
      </c>
      <c r="H39" s="12" t="s">
        <v>31</v>
      </c>
      <c r="I39" s="12" t="s">
        <v>32</v>
      </c>
      <c r="J39" s="41" t="s">
        <v>8</v>
      </c>
      <c r="K39" s="12" t="s">
        <v>9</v>
      </c>
      <c r="L39" s="176" t="s">
        <v>79</v>
      </c>
      <c r="M39" s="176" t="s">
        <v>80</v>
      </c>
    </row>
    <row r="40" spans="2:13" x14ac:dyDescent="0.45">
      <c r="B40" s="59"/>
      <c r="C40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0" s="51" t="str">
        <f>IF(DBSummary[[#This Row],[DB Name]]="","",SUMIFS(AWRData[ORA use (GB)],AWRData[DB Name],DBSummary[[#This Row],[DB Name]]))</f>
        <v/>
      </c>
      <c r="E40" s="13" t="str">
        <f>IF(DBSummary[[#This Row],[DB Name]]="","",PeakRAMfactor*DBSummary[[#This Row],[Observed memory (GiB) consumed only by Oracle]])</f>
        <v/>
      </c>
      <c r="F40" s="50" t="str">
        <f>IF(DBSummary[[#This Row],[DB Name]]="","",SUMIFS(AWRData[Total IOPS],AWRData[DB Name],DBSummary[[#This Row],[DB Name]]))</f>
        <v/>
      </c>
      <c r="G40" s="50" t="str">
        <f>IF(DBSummary[[#This Row],[DB Name]]="","",SUMIFS(AWRData[Total Throughput (MB/s)],AWRData[DB Name],DBSummary[[#This Row],[DB Name]]))</f>
        <v/>
      </c>
      <c r="H40" s="42" t="str">
        <f>IF(DBSummary[[#This Row],[DB Name]]="","",DBSummary[[#This Row],[Observed IOPS]]*IoMetricsFactor)</f>
        <v/>
      </c>
      <c r="I40" s="42" t="str">
        <f>IF(DBSummary[[#This Row],[DB Name]]="","",DBSummary[[#This Row],[Observed I/O throughput (MB/s)]]*IoMetricsFactor)</f>
        <v/>
      </c>
      <c r="J40" s="26" t="str">
        <f>IF(DBSummary[[#This Row],[DB Name]]="","",ROUND(SUMIFS(InstSummary[Est''d Azure vCPUs],InstSummary[DB Name],DBSummary[[#This Row],[DB Name]])+0.5,0))</f>
        <v/>
      </c>
      <c r="K40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0" s="3"/>
      <c r="M40" s="3"/>
    </row>
    <row r="41" spans="2:13" x14ac:dyDescent="0.45">
      <c r="B41" s="59"/>
      <c r="C41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1" s="51" t="str">
        <f>IF(DBSummary[[#This Row],[DB Name]]="","",SUMIFS(AWRData[ORA use (GB)],AWRData[DB Name],DBSummary[[#This Row],[DB Name]]))</f>
        <v/>
      </c>
      <c r="E41" s="13" t="str">
        <f>IF(DBSummary[[#This Row],[DB Name]]="","",PeakRAMfactor*DBSummary[[#This Row],[Observed memory (GiB) consumed only by Oracle]])</f>
        <v/>
      </c>
      <c r="F41" s="50" t="str">
        <f>IF(DBSummary[[#This Row],[DB Name]]="","",SUMIFS(AWRData[Total IOPS],AWRData[DB Name],DBSummary[[#This Row],[DB Name]]))</f>
        <v/>
      </c>
      <c r="G41" s="50" t="str">
        <f>IF(DBSummary[[#This Row],[DB Name]]="","",SUMIFS(AWRData[Total Throughput (MB/s)],AWRData[DB Name],DBSummary[[#This Row],[DB Name]]))</f>
        <v/>
      </c>
      <c r="H41" s="42" t="str">
        <f>IF(DBSummary[[#This Row],[DB Name]]="","",DBSummary[[#This Row],[Observed IOPS]]*IoMetricsFactor)</f>
        <v/>
      </c>
      <c r="I41" s="42" t="str">
        <f>IF(DBSummary[[#This Row],[DB Name]]="","",DBSummary[[#This Row],[Observed I/O throughput (MB/s)]]*IoMetricsFactor)</f>
        <v/>
      </c>
      <c r="J41" s="26" t="str">
        <f>IF(DBSummary[[#This Row],[DB Name]]="","",ROUND(SUMIFS(InstSummary[Est''d Azure vCPUs],InstSummary[DB Name],DBSummary[[#This Row],[DB Name]])+0.5,0))</f>
        <v/>
      </c>
      <c r="K41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1" s="3"/>
      <c r="M41" s="3"/>
    </row>
    <row r="42" spans="2:13" x14ac:dyDescent="0.45">
      <c r="B42" s="59"/>
      <c r="C42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2" s="51" t="str">
        <f>IF(DBSummary[[#This Row],[DB Name]]="","",SUMIFS(AWRData[ORA use (GB)],AWRData[DB Name],DBSummary[[#This Row],[DB Name]]))</f>
        <v/>
      </c>
      <c r="E42" s="13" t="str">
        <f>IF(DBSummary[[#This Row],[DB Name]]="","",PeakRAMfactor*DBSummary[[#This Row],[Observed memory (GiB) consumed only by Oracle]])</f>
        <v/>
      </c>
      <c r="F42" s="50" t="str">
        <f>IF(DBSummary[[#This Row],[DB Name]]="","",SUMIFS(AWRData[Total IOPS],AWRData[DB Name],DBSummary[[#This Row],[DB Name]]))</f>
        <v/>
      </c>
      <c r="G42" s="50" t="str">
        <f>IF(DBSummary[[#This Row],[DB Name]]="","",SUMIFS(AWRData[Total Throughput (MB/s)],AWRData[DB Name],DBSummary[[#This Row],[DB Name]]))</f>
        <v/>
      </c>
      <c r="H42" s="42" t="str">
        <f>IF(DBSummary[[#This Row],[DB Name]]="","",DBSummary[[#This Row],[Observed IOPS]]*IoMetricsFactor)</f>
        <v/>
      </c>
      <c r="I42" s="42" t="str">
        <f>IF(DBSummary[[#This Row],[DB Name]]="","",DBSummary[[#This Row],[Observed I/O throughput (MB/s)]]*IoMetricsFactor)</f>
        <v/>
      </c>
      <c r="J42" s="26" t="str">
        <f>IF(DBSummary[[#This Row],[DB Name]]="","",ROUND(SUMIFS(InstSummary[Est''d Azure vCPUs],InstSummary[DB Name],DBSummary[[#This Row],[DB Name]])+0.5,0))</f>
        <v/>
      </c>
      <c r="K42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2" s="3"/>
      <c r="M42" s="3"/>
    </row>
    <row r="43" spans="2:13" x14ac:dyDescent="0.45">
      <c r="B43" s="59"/>
      <c r="C43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3" s="51" t="str">
        <f>IF(DBSummary[[#This Row],[DB Name]]="","",SUMIFS(AWRData[ORA use (GB)],AWRData[DB Name],DBSummary[[#This Row],[DB Name]]))</f>
        <v/>
      </c>
      <c r="E43" s="13" t="str">
        <f>IF(DBSummary[[#This Row],[DB Name]]="","",PeakRAMfactor*DBSummary[[#This Row],[Observed memory (GiB) consumed only by Oracle]])</f>
        <v/>
      </c>
      <c r="F43" s="50" t="str">
        <f>IF(DBSummary[[#This Row],[DB Name]]="","",SUMIFS(AWRData[Total IOPS],AWRData[DB Name],DBSummary[[#This Row],[DB Name]]))</f>
        <v/>
      </c>
      <c r="G43" s="50" t="str">
        <f>IF(DBSummary[[#This Row],[DB Name]]="","",SUMIFS(AWRData[Total Throughput (MB/s)],AWRData[DB Name],DBSummary[[#This Row],[DB Name]]))</f>
        <v/>
      </c>
      <c r="H43" s="42" t="str">
        <f>IF(DBSummary[[#This Row],[DB Name]]="","",DBSummary[[#This Row],[Observed IOPS]]*IoMetricsFactor)</f>
        <v/>
      </c>
      <c r="I43" s="42" t="str">
        <f>IF(DBSummary[[#This Row],[DB Name]]="","",DBSummary[[#This Row],[Observed I/O throughput (MB/s)]]*IoMetricsFactor)</f>
        <v/>
      </c>
      <c r="J43" s="26" t="str">
        <f>IF(DBSummary[[#This Row],[DB Name]]="","",ROUND(SUMIFS(InstSummary[Est''d Azure vCPUs],InstSummary[DB Name],DBSummary[[#This Row],[DB Name]])+0.5,0))</f>
        <v/>
      </c>
      <c r="K43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3" s="3"/>
      <c r="M43" s="3"/>
    </row>
    <row r="44" spans="2:13" x14ac:dyDescent="0.45">
      <c r="B44" s="59"/>
      <c r="C44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4" s="51" t="str">
        <f>IF(DBSummary[[#This Row],[DB Name]]="","",SUMIFS(AWRData[ORA use (GB)],AWRData[DB Name],DBSummary[[#This Row],[DB Name]]))</f>
        <v/>
      </c>
      <c r="E44" s="13" t="str">
        <f>IF(DBSummary[[#This Row],[DB Name]]="","",PeakRAMfactor*DBSummary[[#This Row],[Observed memory (GiB) consumed only by Oracle]])</f>
        <v/>
      </c>
      <c r="F44" s="50" t="str">
        <f>IF(DBSummary[[#This Row],[DB Name]]="","",SUMIFS(AWRData[Total IOPS],AWRData[DB Name],DBSummary[[#This Row],[DB Name]]))</f>
        <v/>
      </c>
      <c r="G44" s="50" t="str">
        <f>IF(DBSummary[[#This Row],[DB Name]]="","",SUMIFS(AWRData[Total Throughput (MB/s)],AWRData[DB Name],DBSummary[[#This Row],[DB Name]]))</f>
        <v/>
      </c>
      <c r="H44" s="42" t="str">
        <f>IF(DBSummary[[#This Row],[DB Name]]="","",DBSummary[[#This Row],[Observed IOPS]]*IoMetricsFactor)</f>
        <v/>
      </c>
      <c r="I44" s="42" t="str">
        <f>IF(DBSummary[[#This Row],[DB Name]]="","",DBSummary[[#This Row],[Observed I/O throughput (MB/s)]]*IoMetricsFactor)</f>
        <v/>
      </c>
      <c r="J44" s="26" t="str">
        <f>IF(DBSummary[[#This Row],[DB Name]]="","",ROUND(SUMIFS(InstSummary[Est''d Azure vCPUs],InstSummary[DB Name],DBSummary[[#This Row],[DB Name]])+0.5,0))</f>
        <v/>
      </c>
      <c r="K44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4" s="3"/>
      <c r="M44" s="3"/>
    </row>
    <row r="45" spans="2:13" x14ac:dyDescent="0.45">
      <c r="B45" s="59"/>
      <c r="C45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5" s="51" t="str">
        <f>IF(DBSummary[[#This Row],[DB Name]]="","",SUMIFS(AWRData[ORA use (GB)],AWRData[DB Name],DBSummary[[#This Row],[DB Name]]))</f>
        <v/>
      </c>
      <c r="E45" s="13" t="str">
        <f>IF(DBSummary[[#This Row],[DB Name]]="","",PeakRAMfactor*DBSummary[[#This Row],[Observed memory (GiB) consumed only by Oracle]])</f>
        <v/>
      </c>
      <c r="F45" s="50" t="str">
        <f>IF(DBSummary[[#This Row],[DB Name]]="","",SUMIFS(AWRData[Total IOPS],AWRData[DB Name],DBSummary[[#This Row],[DB Name]]))</f>
        <v/>
      </c>
      <c r="G45" s="50" t="str">
        <f>IF(DBSummary[[#This Row],[DB Name]]="","",SUMIFS(AWRData[Total Throughput (MB/s)],AWRData[DB Name],DBSummary[[#This Row],[DB Name]]))</f>
        <v/>
      </c>
      <c r="H45" s="42" t="str">
        <f>IF(DBSummary[[#This Row],[DB Name]]="","",DBSummary[[#This Row],[Observed IOPS]]*IoMetricsFactor)</f>
        <v/>
      </c>
      <c r="I45" s="42" t="str">
        <f>IF(DBSummary[[#This Row],[DB Name]]="","",DBSummary[[#This Row],[Observed I/O throughput (MB/s)]]*IoMetricsFactor)</f>
        <v/>
      </c>
      <c r="J45" s="26" t="str">
        <f>IF(DBSummary[[#This Row],[DB Name]]="","",ROUND(SUMIFS(InstSummary[Est''d Azure vCPUs],InstSummary[DB Name],DBSummary[[#This Row],[DB Name]])+0.5,0))</f>
        <v/>
      </c>
      <c r="K45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5" s="3"/>
      <c r="M45" s="3"/>
    </row>
    <row r="46" spans="2:13" x14ac:dyDescent="0.45">
      <c r="B46" s="59"/>
      <c r="C46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6" s="51" t="str">
        <f>IF(DBSummary[[#This Row],[DB Name]]="","",SUMIFS(AWRData[ORA use (GB)],AWRData[DB Name],DBSummary[[#This Row],[DB Name]]))</f>
        <v/>
      </c>
      <c r="E46" s="13" t="str">
        <f>IF(DBSummary[[#This Row],[DB Name]]="","",PeakRAMfactor*DBSummary[[#This Row],[Observed memory (GiB) consumed only by Oracle]])</f>
        <v/>
      </c>
      <c r="F46" s="50" t="str">
        <f>IF(DBSummary[[#This Row],[DB Name]]="","",SUMIFS(AWRData[Total IOPS],AWRData[DB Name],DBSummary[[#This Row],[DB Name]]))</f>
        <v/>
      </c>
      <c r="G46" s="50" t="str">
        <f>IF(DBSummary[[#This Row],[DB Name]]="","",SUMIFS(AWRData[Total Throughput (MB/s)],AWRData[DB Name],DBSummary[[#This Row],[DB Name]]))</f>
        <v/>
      </c>
      <c r="H46" s="42" t="str">
        <f>IF(DBSummary[[#This Row],[DB Name]]="","",DBSummary[[#This Row],[Observed IOPS]]*IoMetricsFactor)</f>
        <v/>
      </c>
      <c r="I46" s="42" t="str">
        <f>IF(DBSummary[[#This Row],[DB Name]]="","",DBSummary[[#This Row],[Observed I/O throughput (MB/s)]]*IoMetricsFactor)</f>
        <v/>
      </c>
      <c r="J46" s="26" t="str">
        <f>IF(DBSummary[[#This Row],[DB Name]]="","",ROUND(SUMIFS(InstSummary[Est''d Azure vCPUs],InstSummary[DB Name],DBSummary[[#This Row],[DB Name]])+0.5,0))</f>
        <v/>
      </c>
      <c r="K46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6" s="3"/>
      <c r="M46" s="3"/>
    </row>
    <row r="47" spans="2:13" x14ac:dyDescent="0.45">
      <c r="B47" s="60"/>
      <c r="C47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7" s="51" t="str">
        <f>IF(DBSummary[[#This Row],[DB Name]]="","",SUMIFS(AWRData[ORA use (GB)],AWRData[DB Name],DBSummary[[#This Row],[DB Name]]))</f>
        <v/>
      </c>
      <c r="E47" s="13" t="str">
        <f>IF(DBSummary[[#This Row],[DB Name]]="","",PeakRAMfactor*DBSummary[[#This Row],[Observed memory (GiB) consumed only by Oracle]])</f>
        <v/>
      </c>
      <c r="F47" s="50" t="str">
        <f>IF(DBSummary[[#This Row],[DB Name]]="","",SUMIFS(AWRData[Total IOPS],AWRData[DB Name],DBSummary[[#This Row],[DB Name]]))</f>
        <v/>
      </c>
      <c r="G47" s="50" t="str">
        <f>IF(DBSummary[[#This Row],[DB Name]]="","",SUMIFS(AWRData[Total Throughput (MB/s)],AWRData[DB Name],DBSummary[[#This Row],[DB Name]]))</f>
        <v/>
      </c>
      <c r="H47" s="42" t="str">
        <f>IF(DBSummary[[#This Row],[DB Name]]="","",DBSummary[[#This Row],[Observed IOPS]]*IoMetricsFactor)</f>
        <v/>
      </c>
      <c r="I47" s="42" t="str">
        <f>IF(DBSummary[[#This Row],[DB Name]]="","",DBSummary[[#This Row],[Observed I/O throughput (MB/s)]]*IoMetricsFactor)</f>
        <v/>
      </c>
      <c r="J47" s="26" t="str">
        <f>IF(DBSummary[[#This Row],[DB Name]]="","",ROUND(SUMIFS(InstSummary[Est''d Azure vCPUs],InstSummary[DB Name],DBSummary[[#This Row],[DB Name]])+0.5,0))</f>
        <v/>
      </c>
      <c r="K47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7" s="3"/>
      <c r="M47" s="3"/>
    </row>
    <row r="48" spans="2:13" x14ac:dyDescent="0.45">
      <c r="B48" s="59"/>
      <c r="C48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8" s="51" t="str">
        <f>IF(DBSummary[[#This Row],[DB Name]]="","",SUMIFS(AWRData[ORA use (GB)],AWRData[DB Name],DBSummary[[#This Row],[DB Name]]))</f>
        <v/>
      </c>
      <c r="E48" s="13" t="str">
        <f>IF(DBSummary[[#This Row],[DB Name]]="","",PeakRAMfactor*DBSummary[[#This Row],[Observed memory (GiB) consumed only by Oracle]])</f>
        <v/>
      </c>
      <c r="F48" s="50" t="str">
        <f>IF(DBSummary[[#This Row],[DB Name]]="","",SUMIFS(AWRData[Total IOPS],AWRData[DB Name],DBSummary[[#This Row],[DB Name]]))</f>
        <v/>
      </c>
      <c r="G48" s="50" t="str">
        <f>IF(DBSummary[[#This Row],[DB Name]]="","",SUMIFS(AWRData[Total Throughput (MB/s)],AWRData[DB Name],DBSummary[[#This Row],[DB Name]]))</f>
        <v/>
      </c>
      <c r="H48" s="42" t="str">
        <f>IF(DBSummary[[#This Row],[DB Name]]="","",DBSummary[[#This Row],[Observed IOPS]]*IoMetricsFactor)</f>
        <v/>
      </c>
      <c r="I48" s="42" t="str">
        <f>IF(DBSummary[[#This Row],[DB Name]]="","",DBSummary[[#This Row],[Observed I/O throughput (MB/s)]]*IoMetricsFactor)</f>
        <v/>
      </c>
      <c r="J48" s="26" t="str">
        <f>IF(DBSummary[[#This Row],[DB Name]]="","",ROUND(SUMIFS(InstSummary[Est''d Azure vCPUs],InstSummary[DB Name],DBSummary[[#This Row],[DB Name]])+0.5,0))</f>
        <v/>
      </c>
      <c r="K48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8" s="3"/>
      <c r="M48" s="3"/>
    </row>
    <row r="49" spans="2:15" x14ac:dyDescent="0.45">
      <c r="B49" s="60"/>
      <c r="C49" s="46" t="str">
        <f>IF(DBSummary[[#This Row],[DB Name]]="","",SUMIFS(AWRData[DB Time (mins)],AWRData[DB Name],DBSummary[[#This Row],[DB Name]])/SUMIFS(AWRData[Elapsed Time (mins)],AWRData[DB Name],DBSummary[[#This Row],[DB Name]]))</f>
        <v/>
      </c>
      <c r="D49" s="51" t="str">
        <f>IF(DBSummary[[#This Row],[DB Name]]="","",SUMIFS(AWRData[ORA use (GB)],AWRData[DB Name],DBSummary[[#This Row],[DB Name]]))</f>
        <v/>
      </c>
      <c r="E49" s="13" t="str">
        <f>IF(DBSummary[[#This Row],[DB Name]]="","",PeakRAMfactor*DBSummary[[#This Row],[Observed memory (GiB) consumed only by Oracle]])</f>
        <v/>
      </c>
      <c r="F49" s="50" t="str">
        <f>IF(DBSummary[[#This Row],[DB Name]]="","",SUMIFS(AWRData[Total IOPS],AWRData[DB Name],DBSummary[[#This Row],[DB Name]]))</f>
        <v/>
      </c>
      <c r="G49" s="50" t="str">
        <f>IF(DBSummary[[#This Row],[DB Name]]="","",SUMIFS(AWRData[Total Throughput (MB/s)],AWRData[DB Name],DBSummary[[#This Row],[DB Name]]))</f>
        <v/>
      </c>
      <c r="H49" s="42" t="str">
        <f>IF(DBSummary[[#This Row],[DB Name]]="","",DBSummary[[#This Row],[Observed IOPS]]*IoMetricsFactor)</f>
        <v/>
      </c>
      <c r="I49" s="42" t="str">
        <f>IF(DBSummary[[#This Row],[DB Name]]="","",DBSummary[[#This Row],[Observed I/O throughput (MB/s)]]*IoMetricsFactor)</f>
        <v/>
      </c>
      <c r="J49" s="26" t="str">
        <f>IF(DBSummary[[#This Row],[DB Name]]="","",ROUND(SUMIFS(InstSummary[Est''d Azure vCPUs],InstSummary[DB Name],DBSummary[[#This Row],[DB Name]])+0.5,0))</f>
        <v/>
      </c>
      <c r="K49" s="35" t="str">
        <f>IF(DBSummary[[#This Row],[DB Name]]="","",IF(SUMIFS(AWRData[%busy CPU],AWRData[DB Name],DBSummary[[#This Row],[DB Name]])&lt;BusyCPUfactor,PeakCpuFactor*DBSummary[[#This Row],[Est''d Azure vCPUs for avg load]],(BusyCPUmultiplier*PeakCpuFactor)*DBSummary[[#This Row],[Est''d Azure vCPUs for avg load]]))</f>
        <v/>
      </c>
      <c r="L49" s="3"/>
      <c r="M49" s="3"/>
    </row>
    <row r="50" spans="2:15" x14ac:dyDescent="0.45">
      <c r="B50" t="s">
        <v>7</v>
      </c>
      <c r="C50" s="53">
        <f>SUBTOTAL(109,DBSummary[%DB Time of Elapsed Time (aka Avg Active Sessions or "AAS")])</f>
        <v>0</v>
      </c>
      <c r="D50" s="54">
        <f>SUBTOTAL(109,DBSummary[Observed memory (GiB) consumed only by Oracle])</f>
        <v>0</v>
      </c>
      <c r="E50" s="14">
        <f>SUBTOTAL(109,DBSummary[Est''d Azure vRAM for server])</f>
        <v>0</v>
      </c>
      <c r="F50" s="52">
        <f>SUBTOTAL(109,DBSummary[Observed IOPS])</f>
        <v>0</v>
      </c>
      <c r="G50" s="52">
        <f>SUBTOTAL(109,DBSummary[Observed I/O throughput (MB/s)])</f>
        <v>0</v>
      </c>
      <c r="H50" s="43">
        <f>SUBTOTAL(109,DBSummary[Est''d Azure IOPS for peak load])</f>
        <v>0</v>
      </c>
      <c r="I50" s="43">
        <f>SUBTOTAL(109,DBSummary[Est''d Azure Throughput (MB/s) for peak load])</f>
        <v>0</v>
      </c>
      <c r="J50" s="55">
        <f>SUBTOTAL(109,DBSummary[Est''d Azure vCPUs for avg load])</f>
        <v>0</v>
      </c>
      <c r="K50" s="44">
        <f>SUBTOTAL(109,DBSummary[Est''d Azure vCPUs for peak load])</f>
        <v>0</v>
      </c>
      <c r="L50" s="177"/>
      <c r="M50" s="177"/>
    </row>
    <row r="51" spans="2:15" x14ac:dyDescent="0.45">
      <c r="C51" s="8"/>
      <c r="D51" s="25"/>
      <c r="E51" s="11"/>
      <c r="F51" s="11"/>
      <c r="G51" s="27"/>
      <c r="H51" s="13"/>
      <c r="I51" s="8"/>
      <c r="J51" s="8"/>
      <c r="K51" s="8"/>
      <c r="L51" s="178" t="s">
        <v>81</v>
      </c>
      <c r="M51" s="29"/>
      <c r="N51" s="30"/>
    </row>
    <row r="52" spans="2:15" ht="14.65" thickBot="1" x14ac:dyDescent="0.5">
      <c r="C52" s="8"/>
      <c r="D52" s="25"/>
      <c r="E52" s="11"/>
      <c r="F52" s="11"/>
      <c r="G52" s="27"/>
      <c r="H52" s="13"/>
      <c r="I52" s="8"/>
      <c r="J52" s="8"/>
      <c r="K52" s="8"/>
      <c r="L52" s="28"/>
      <c r="M52" s="29"/>
      <c r="N52" s="30"/>
    </row>
    <row r="53" spans="2:15" ht="18" x14ac:dyDescent="0.55000000000000004">
      <c r="B53" s="77" t="s">
        <v>57</v>
      </c>
      <c r="C53" s="78"/>
      <c r="D53" s="79"/>
      <c r="E53" s="15"/>
      <c r="F53" s="15"/>
      <c r="G53" s="15"/>
      <c r="H53" s="15"/>
      <c r="I53" s="15"/>
      <c r="J53" s="15"/>
      <c r="K53" s="15"/>
      <c r="L53" s="15"/>
      <c r="M53" s="15"/>
    </row>
    <row r="54" spans="2:15" ht="14.65" thickBot="1" x14ac:dyDescent="0.5">
      <c r="B54" s="80" t="s">
        <v>58</v>
      </c>
      <c r="C54" s="81"/>
      <c r="D54" s="81"/>
      <c r="F54" s="82"/>
      <c r="G54" s="83" t="s">
        <v>59</v>
      </c>
      <c r="H54" s="83"/>
      <c r="I54" s="84"/>
      <c r="K54" t="s">
        <v>60</v>
      </c>
    </row>
    <row r="55" spans="2:15" ht="14.65" thickBot="1" x14ac:dyDescent="0.5">
      <c r="B55" s="85" t="s">
        <v>78</v>
      </c>
      <c r="C55" s="86"/>
      <c r="D55" s="87" t="s">
        <v>61</v>
      </c>
      <c r="E55" s="87" t="s">
        <v>62</v>
      </c>
      <c r="F55" s="88" t="s">
        <v>63</v>
      </c>
      <c r="G55" s="88" t="s">
        <v>64</v>
      </c>
      <c r="H55" s="88" t="s">
        <v>65</v>
      </c>
      <c r="I55" s="89" t="s">
        <v>66</v>
      </c>
      <c r="J55" s="90" t="s">
        <v>61</v>
      </c>
      <c r="K55" s="91" t="s">
        <v>67</v>
      </c>
      <c r="L55" s="90" t="s">
        <v>68</v>
      </c>
      <c r="M55" s="82" t="s">
        <v>69</v>
      </c>
      <c r="N55" s="90" t="s">
        <v>77</v>
      </c>
      <c r="O55" s="90" t="s">
        <v>76</v>
      </c>
    </row>
    <row r="56" spans="2:15" ht="15.75" thickBot="1" x14ac:dyDescent="0.5">
      <c r="B56" s="92"/>
      <c r="C56" s="93"/>
      <c r="D56" s="94"/>
      <c r="E56" s="95"/>
      <c r="F56" s="96"/>
      <c r="G56" s="97"/>
      <c r="H56" s="97"/>
      <c r="I56" s="98"/>
      <c r="J56" s="99"/>
      <c r="K56" s="100"/>
      <c r="L56" s="99"/>
      <c r="M56" s="167"/>
      <c r="N56" s="99"/>
      <c r="O56" s="99"/>
    </row>
    <row r="57" spans="2:15" ht="15.75" thickBot="1" x14ac:dyDescent="0.5">
      <c r="B57" s="92"/>
      <c r="C57" s="93"/>
      <c r="D57" s="94"/>
      <c r="E57" s="95"/>
      <c r="F57" s="96"/>
      <c r="G57" s="97"/>
      <c r="H57" s="97"/>
      <c r="I57" s="98"/>
      <c r="J57" s="99"/>
      <c r="K57" s="100"/>
      <c r="L57" s="99"/>
      <c r="M57" s="167"/>
      <c r="N57" s="99"/>
      <c r="O57" s="99"/>
    </row>
    <row r="58" spans="2:15" ht="15.4" thickBot="1" x14ac:dyDescent="0.5">
      <c r="B58" s="101"/>
      <c r="C58" s="93"/>
      <c r="D58" s="94"/>
      <c r="E58" s="95"/>
      <c r="F58" s="96"/>
      <c r="G58" s="97"/>
      <c r="H58" s="97"/>
      <c r="I58" s="98"/>
      <c r="J58" s="99"/>
      <c r="K58" s="100"/>
      <c r="L58" s="99"/>
      <c r="M58" s="167"/>
      <c r="N58" s="99"/>
      <c r="O58" s="99"/>
    </row>
    <row r="59" spans="2:15" ht="15.75" thickBot="1" x14ac:dyDescent="0.5">
      <c r="B59" s="102"/>
      <c r="C59" s="103"/>
      <c r="D59" s="94"/>
      <c r="E59" s="95"/>
      <c r="F59" s="96"/>
      <c r="G59" s="97"/>
      <c r="H59" s="97"/>
      <c r="I59" s="98"/>
      <c r="J59" s="99"/>
      <c r="K59" s="100"/>
      <c r="L59" s="99"/>
      <c r="M59" s="167"/>
      <c r="N59" s="99"/>
      <c r="O59" s="99"/>
    </row>
    <row r="60" spans="2:15" ht="15.4" thickBot="1" x14ac:dyDescent="0.5">
      <c r="B60" s="104"/>
      <c r="C60" s="105"/>
      <c r="D60" s="94"/>
      <c r="E60" s="95"/>
      <c r="F60" s="96"/>
      <c r="G60" s="97"/>
      <c r="H60" s="97"/>
      <c r="I60" s="98"/>
      <c r="J60" s="99"/>
      <c r="K60" s="100"/>
      <c r="L60" s="99"/>
      <c r="M60" s="167"/>
      <c r="N60" s="99"/>
      <c r="O60" s="99"/>
    </row>
    <row r="61" spans="2:15" ht="15.4" thickBot="1" x14ac:dyDescent="0.5">
      <c r="B61" s="106"/>
      <c r="C61" s="107"/>
      <c r="D61" s="94"/>
      <c r="E61" s="95"/>
      <c r="F61" s="96"/>
      <c r="G61" s="97"/>
      <c r="H61" s="97"/>
      <c r="I61" s="98"/>
      <c r="J61" s="99"/>
      <c r="K61" s="100"/>
      <c r="L61" s="99"/>
      <c r="M61" s="167"/>
      <c r="N61" s="99"/>
      <c r="O61" s="99"/>
    </row>
    <row r="62" spans="2:15" ht="15.4" thickBot="1" x14ac:dyDescent="0.5">
      <c r="B62" s="104"/>
      <c r="C62" s="105"/>
      <c r="D62" s="94"/>
      <c r="E62" s="95"/>
      <c r="F62" s="96"/>
      <c r="G62" s="97"/>
      <c r="H62" s="97"/>
      <c r="I62" s="98"/>
      <c r="J62" s="99"/>
      <c r="K62" s="100"/>
      <c r="L62" s="99"/>
      <c r="M62" s="167"/>
      <c r="N62" s="99"/>
      <c r="O62" s="99"/>
    </row>
    <row r="63" spans="2:15" ht="15.4" thickBot="1" x14ac:dyDescent="0.5">
      <c r="B63" s="104"/>
      <c r="C63" s="105"/>
      <c r="D63" s="94"/>
      <c r="E63" s="95"/>
      <c r="F63" s="96"/>
      <c r="G63" s="97"/>
      <c r="H63" s="97"/>
      <c r="I63" s="98"/>
      <c r="J63" s="99"/>
      <c r="K63" s="100"/>
      <c r="L63" s="99"/>
      <c r="M63" s="167"/>
      <c r="N63" s="99"/>
      <c r="O63" s="99"/>
    </row>
    <row r="64" spans="2:15" ht="15.4" thickBot="1" x14ac:dyDescent="0.5">
      <c r="B64" s="101"/>
      <c r="C64" s="105"/>
      <c r="D64" s="94"/>
      <c r="E64" s="95"/>
      <c r="F64" s="96"/>
      <c r="G64" s="97"/>
      <c r="H64" s="97"/>
      <c r="I64" s="98"/>
      <c r="J64" s="99"/>
      <c r="K64" s="100"/>
      <c r="L64" s="99"/>
      <c r="M64" s="167"/>
      <c r="N64" s="99"/>
      <c r="O64" s="99"/>
    </row>
    <row r="65" spans="2:15" ht="15.4" thickBot="1" x14ac:dyDescent="0.5">
      <c r="B65" s="101"/>
      <c r="C65" s="93"/>
      <c r="D65" s="94"/>
      <c r="E65" s="95"/>
      <c r="F65" s="96"/>
      <c r="G65" s="97"/>
      <c r="H65" s="97"/>
      <c r="I65" s="98"/>
      <c r="J65" s="108"/>
      <c r="K65" s="109"/>
      <c r="L65" s="108"/>
      <c r="M65" s="168"/>
      <c r="N65" s="108"/>
      <c r="O65" s="108"/>
    </row>
    <row r="66" spans="2:15" ht="15.4" thickBot="1" x14ac:dyDescent="0.5">
      <c r="B66" s="101"/>
      <c r="C66" s="110"/>
      <c r="D66" s="94"/>
      <c r="E66" s="111"/>
      <c r="F66" s="112"/>
      <c r="G66" s="112"/>
      <c r="H66" s="112"/>
      <c r="I66" s="113"/>
      <c r="J66" s="114" t="s">
        <v>67</v>
      </c>
      <c r="K66" s="115">
        <f>SUM(K56:K65)</f>
        <v>0</v>
      </c>
      <c r="L66" s="116" t="s">
        <v>69</v>
      </c>
      <c r="M66" s="115">
        <f>SUM(M56:M65)</f>
        <v>0</v>
      </c>
      <c r="N66" s="174" t="s">
        <v>76</v>
      </c>
      <c r="O66" s="175">
        <f>SUM(U56-U65)</f>
        <v>0</v>
      </c>
    </row>
    <row r="67" spans="2:15" ht="14.65" thickBot="1" x14ac:dyDescent="0.5">
      <c r="B67" t="s">
        <v>60</v>
      </c>
      <c r="D67" s="118"/>
      <c r="E67" s="119" t="s">
        <v>70</v>
      </c>
      <c r="F67" s="120">
        <f>SUM(F56:F66)</f>
        <v>0</v>
      </c>
      <c r="G67" s="121">
        <f>SUM(G56:G66)</f>
        <v>0</v>
      </c>
      <c r="H67" s="122">
        <f>SUM(H56:H66)</f>
        <v>0</v>
      </c>
      <c r="I67" s="139"/>
      <c r="J67" t="s">
        <v>60</v>
      </c>
      <c r="N67" s="117"/>
    </row>
    <row r="68" spans="2:15" x14ac:dyDescent="0.45">
      <c r="D68" s="123"/>
      <c r="E68" s="124" t="s">
        <v>67</v>
      </c>
      <c r="F68" s="125">
        <f>SUM(K66)</f>
        <v>0</v>
      </c>
      <c r="G68" s="125">
        <f>SUM(K66)</f>
        <v>0</v>
      </c>
      <c r="H68" s="125">
        <f>SUM(K66)</f>
        <v>0</v>
      </c>
      <c r="M68" s="126" t="s">
        <v>60</v>
      </c>
      <c r="N68" s="117"/>
    </row>
    <row r="69" spans="2:15" x14ac:dyDescent="0.45">
      <c r="E69" s="124" t="s">
        <v>69</v>
      </c>
      <c r="F69" s="125">
        <f>SUM(M66)</f>
        <v>0</v>
      </c>
      <c r="G69" s="125">
        <f>SUM(M66)</f>
        <v>0</v>
      </c>
      <c r="H69" s="125">
        <f>SUM(M66)</f>
        <v>0</v>
      </c>
    </row>
    <row r="70" spans="2:15" ht="14.65" thickBot="1" x14ac:dyDescent="0.5">
      <c r="B70" s="127" t="s">
        <v>60</v>
      </c>
      <c r="E70" s="124" t="s">
        <v>76</v>
      </c>
      <c r="F70" s="169">
        <f>SUM(U66)</f>
        <v>0</v>
      </c>
      <c r="G70" s="170">
        <f>+SUM(U66)</f>
        <v>0</v>
      </c>
      <c r="H70" s="169">
        <f>SUM(U66)</f>
        <v>0</v>
      </c>
    </row>
    <row r="71" spans="2:15" ht="14.65" thickBot="1" x14ac:dyDescent="0.5">
      <c r="E71" s="128" t="s">
        <v>71</v>
      </c>
      <c r="F71" s="171">
        <f>SUM(F67:F70)</f>
        <v>0</v>
      </c>
      <c r="G71" s="172">
        <f>SUM(G67:G70)</f>
        <v>0</v>
      </c>
      <c r="H71" s="173">
        <f>SUM(H67:H70)</f>
        <v>0</v>
      </c>
    </row>
    <row r="73" spans="2:15" ht="14.65" thickBot="1" x14ac:dyDescent="0.5"/>
    <row r="74" spans="2:15" ht="18" x14ac:dyDescent="0.55000000000000004">
      <c r="B74" s="129" t="s">
        <v>72</v>
      </c>
      <c r="C74" s="142" t="s">
        <v>73</v>
      </c>
      <c r="D74" s="143"/>
      <c r="E74" s="144"/>
      <c r="F74" s="143"/>
      <c r="G74" s="144"/>
      <c r="H74" s="144"/>
      <c r="I74" s="144"/>
      <c r="J74" s="144"/>
      <c r="K74" s="144"/>
      <c r="L74" s="144"/>
      <c r="M74" s="145"/>
    </row>
    <row r="75" spans="2:15" x14ac:dyDescent="0.45">
      <c r="C75" s="146" t="s">
        <v>60</v>
      </c>
      <c r="D75" s="147"/>
      <c r="E75" s="140"/>
      <c r="F75" s="147"/>
      <c r="G75" s="141"/>
      <c r="H75" s="141"/>
      <c r="I75" s="141"/>
      <c r="J75" s="141"/>
      <c r="K75" s="141"/>
      <c r="L75" s="141"/>
      <c r="M75" s="148"/>
    </row>
    <row r="76" spans="2:15" x14ac:dyDescent="0.45">
      <c r="C76" s="149"/>
      <c r="D76" s="150"/>
      <c r="E76" s="141"/>
      <c r="F76" s="150"/>
      <c r="G76" s="141"/>
      <c r="H76" s="141"/>
      <c r="I76" s="141"/>
      <c r="J76" s="141"/>
      <c r="K76" s="141"/>
      <c r="L76" s="141"/>
      <c r="M76" s="148"/>
    </row>
    <row r="77" spans="2:15" x14ac:dyDescent="0.45">
      <c r="C77" s="149"/>
      <c r="D77" s="150"/>
      <c r="E77" s="141"/>
      <c r="F77" s="150"/>
      <c r="G77" s="141"/>
      <c r="H77" s="141"/>
      <c r="I77" s="141"/>
      <c r="J77" s="141"/>
      <c r="K77" s="141"/>
      <c r="L77" s="141"/>
      <c r="M77" s="148"/>
    </row>
    <row r="78" spans="2:15" ht="14.65" thickBot="1" x14ac:dyDescent="0.5">
      <c r="C78" s="151"/>
      <c r="D78" s="152"/>
      <c r="E78" s="153"/>
      <c r="F78" s="152"/>
      <c r="G78" s="153"/>
      <c r="H78" s="153"/>
      <c r="I78" s="153"/>
      <c r="J78" s="153"/>
      <c r="K78" s="153"/>
      <c r="L78" s="153"/>
      <c r="M78" s="154"/>
    </row>
    <row r="79" spans="2:15" ht="14.65" thickBot="1" x14ac:dyDescent="0.5">
      <c r="F79"/>
      <c r="G79" s="3"/>
      <c r="H79"/>
      <c r="I79" s="3"/>
    </row>
    <row r="80" spans="2:15" x14ac:dyDescent="0.45">
      <c r="C80" s="155" t="s">
        <v>74</v>
      </c>
      <c r="D80" s="156"/>
      <c r="E80" s="156"/>
      <c r="F80" s="156"/>
      <c r="G80" s="157"/>
      <c r="H80" s="156"/>
      <c r="I80" s="157"/>
      <c r="J80" s="156"/>
      <c r="K80" s="156"/>
      <c r="L80" s="156"/>
      <c r="M80" s="158"/>
    </row>
    <row r="81" spans="3:13" x14ac:dyDescent="0.45">
      <c r="C81" s="159" t="s">
        <v>60</v>
      </c>
      <c r="D81" s="160"/>
      <c r="E81" s="160"/>
      <c r="F81" s="160"/>
      <c r="G81" s="161"/>
      <c r="H81" s="160"/>
      <c r="I81" s="161"/>
      <c r="J81" s="160"/>
      <c r="K81" s="160"/>
      <c r="L81" s="160"/>
      <c r="M81" s="162"/>
    </row>
    <row r="82" spans="3:13" ht="14.65" thickBot="1" x14ac:dyDescent="0.5">
      <c r="C82" s="163" t="s">
        <v>60</v>
      </c>
      <c r="D82" s="164"/>
      <c r="E82" s="164"/>
      <c r="F82" s="164"/>
      <c r="G82" s="165"/>
      <c r="H82" s="164"/>
      <c r="I82" s="165"/>
      <c r="J82" s="164"/>
      <c r="K82" s="164"/>
      <c r="L82" s="164"/>
      <c r="M82" s="166"/>
    </row>
  </sheetData>
  <phoneticPr fontId="2" type="noConversion"/>
  <hyperlinks>
    <hyperlink ref="C74" r:id="rId1" display="https://docs.microsoft.com/en-us/azure/virtual-machines/constrained-vcpu" xr:uid="{6ADD49D3-8131-496E-BCB5-861DA180B580}"/>
    <hyperlink ref="L51" r:id="rId2" xr:uid="{10F3A9AC-6112-4905-A1FE-A5CE82DCA7A1}"/>
  </hyperlinks>
  <pageMargins left="0.7" right="0.7" top="0.75" bottom="0.75" header="0.3" footer="0.3"/>
  <pageSetup orientation="portrait" r:id="rId3"/>
  <legacyDrawing r:id="rId4"/>
  <tableParts count="3"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43520-B58B-441F-A1FD-5ECE162A035C}">
  <dimension ref="A1:C1"/>
  <sheetViews>
    <sheetView showGridLines="0" workbookViewId="0">
      <selection activeCell="N14" sqref="N14"/>
    </sheetView>
  </sheetViews>
  <sheetFormatPr defaultRowHeight="14.25" x14ac:dyDescent="0.45"/>
  <sheetData>
    <row r="1" spans="1:3" ht="18" x14ac:dyDescent="0.55000000000000004">
      <c r="A1" s="130" t="s">
        <v>75</v>
      </c>
      <c r="B1" s="131"/>
      <c r="C1" s="13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MediaServiceKeyPoints xmlns="709bd4f9-040f-4cca-82ee-85e01badb8b3" xsi:nil="true"/>
    <_ip_UnifiedCompliancePolicyProperties xmlns="http://schemas.microsoft.com/sharepoint/v3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6490EF29A8047ADC3474B21C0D5D2" ma:contentTypeVersion="16" ma:contentTypeDescription="Create a new document." ma:contentTypeScope="" ma:versionID="b1ba9ada44db26285f25ae59fe6753d3">
  <xsd:schema xmlns:xsd="http://www.w3.org/2001/XMLSchema" xmlns:xs="http://www.w3.org/2001/XMLSchema" xmlns:p="http://schemas.microsoft.com/office/2006/metadata/properties" xmlns:ns1="http://schemas.microsoft.com/sharepoint/v3" xmlns:ns2="709bd4f9-040f-4cca-82ee-85e01badb8b3" xmlns:ns3="83981cbb-c48d-49a8-924d-c522c711d780" targetNamespace="http://schemas.microsoft.com/office/2006/metadata/properties" ma:root="true" ma:fieldsID="56a803f29a92f7465b533ec2296193fd" ns1:_="" ns2:_="" ns3:_="">
    <xsd:import namespace="http://schemas.microsoft.com/sharepoint/v3"/>
    <xsd:import namespace="709bd4f9-040f-4cca-82ee-85e01badb8b3"/>
    <xsd:import namespace="83981cbb-c48d-49a8-924d-c522c711d78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bd4f9-040f-4cca-82ee-85e01badb8b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MediaServiceAutoTags" ma:internalName="MediaServiceAutoTags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3981cbb-c48d-49a8-924d-c522c711d78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52EF7B-3670-4E03-878B-51C8ACBF2DB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B732D79-BF18-4F6E-BC47-1A6C6745ED9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D30638A-4889-4E15-9F6E-ED97FA1166E7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09bd4f9-040f-4cca-82ee-85e01badb8b3"/>
  </ds:schemaRefs>
</ds:datastoreItem>
</file>

<file path=customXml/itemProps4.xml><?xml version="1.0" encoding="utf-8"?>
<ds:datastoreItem xmlns:ds="http://schemas.openxmlformats.org/officeDocument/2006/customXml" ds:itemID="{0E063D0E-B104-4273-A903-1BD29421A6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09bd4f9-040f-4cca-82ee-85e01badb8b3"/>
    <ds:schemaRef ds:uri="83981cbb-c48d-49a8-924d-c522c711d7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AWR</vt:lpstr>
      <vt:lpstr>Calculations</vt:lpstr>
      <vt:lpstr>Architecture</vt:lpstr>
      <vt:lpstr>BusyCPUfactor</vt:lpstr>
      <vt:lpstr>BusyCPUmultiplier</vt:lpstr>
      <vt:lpstr>HighCpuThreshold</vt:lpstr>
      <vt:lpstr>IoMetricsFactor</vt:lpstr>
      <vt:lpstr>AWR!PeakCPUfactor</vt:lpstr>
      <vt:lpstr>PeakCpuFactor</vt:lpstr>
      <vt:lpstr>AWR!PeakRAMfactor</vt:lpstr>
      <vt:lpstr>PeakRAMfactor</vt:lpstr>
      <vt:lpstr>vCPUHTFactor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Kellyn Gorman</dc:creator>
  <cp:keywords/>
  <dc:description/>
  <cp:lastModifiedBy>Kellyn Gorman</cp:lastModifiedBy>
  <cp:revision/>
  <dcterms:created xsi:type="dcterms:W3CDTF">2020-01-17T18:08:18Z</dcterms:created>
  <dcterms:modified xsi:type="dcterms:W3CDTF">2023-03-24T20:36:23Z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2020-01-17T18:08:19Z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6a007b27-0aa1-42be-8cfa-00007f045610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0x010100EF66490EF29A8047ADC3474B21C0D5D2</vt:lpwstr>
  </property>
</Properties>
</file>